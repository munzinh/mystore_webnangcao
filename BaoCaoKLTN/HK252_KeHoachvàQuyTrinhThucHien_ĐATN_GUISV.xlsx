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langunivn-my.sharepoint.com/personal/phung_bm_vlu_edu_vn/Documents/Working/Khoa CNTT/2025-2026/Tốt nghiệp/DATN/"/>
    </mc:Choice>
  </mc:AlternateContent>
  <xr:revisionPtr revIDLastSave="0" documentId="8_{90741ACA-BBD3-491E-976D-BA71B67A3406}" xr6:coauthVersionLast="47" xr6:coauthVersionMax="47" xr10:uidLastSave="{00000000-0000-0000-0000-000000000000}"/>
  <bookViews>
    <workbookView xWindow="0" yWindow="600" windowWidth="56805" windowHeight="15600" xr2:uid="{00000000-000D-0000-FFFF-FFFF00000000}"/>
  </bookViews>
  <sheets>
    <sheet name="Timeline" sheetId="15" r:id="rId1"/>
    <sheet name="GVHD" sheetId="16" state="hidden" r:id="rId2"/>
    <sheet name="Sheet2" sheetId="12" state="hidden" r:id="rId3"/>
    <sheet name="THEORY (2)" sheetId="7" state="hidden" r:id="rId4"/>
    <sheet name="SUMMARY (2)" sheetId="9" state="hidden" r:id="rId5"/>
    <sheet name="Sheet1" sheetId="11" state="hidden" r:id="rId6"/>
  </sheets>
  <definedNames>
    <definedName name="MmExcelLinker_62BC691A_8B18_47E7_A711_AF63CD12CBD1">#REF!</definedName>
    <definedName name="_xlnm.Print_Titles" localSheetId="0">Timeline!$7:$13</definedName>
    <definedName name="StudentID" localSheetId="2">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70" i="9" l="1"/>
  <c r="O70" i="9"/>
  <c r="K69" i="9"/>
  <c r="J69" i="9"/>
  <c r="I69" i="9"/>
  <c r="M69" i="9" s="1"/>
  <c r="N69" i="9" s="1"/>
  <c r="O69" i="9" s="1"/>
  <c r="G69" i="9"/>
  <c r="K68" i="9"/>
  <c r="J68" i="9"/>
  <c r="I68" i="9"/>
  <c r="G68" i="9"/>
  <c r="K67" i="9"/>
  <c r="J67" i="9"/>
  <c r="I67" i="9"/>
  <c r="G67" i="9"/>
  <c r="K66" i="9"/>
  <c r="J66" i="9"/>
  <c r="I66" i="9"/>
  <c r="M66" i="9" s="1"/>
  <c r="N66" i="9" s="1"/>
  <c r="O66" i="9" s="1"/>
  <c r="G66" i="9"/>
  <c r="K65" i="9"/>
  <c r="J65" i="9"/>
  <c r="I65" i="9"/>
  <c r="G65" i="9"/>
  <c r="K64" i="9"/>
  <c r="J64" i="9"/>
  <c r="I64" i="9"/>
  <c r="G64" i="9"/>
  <c r="F64" i="9"/>
  <c r="K63" i="9"/>
  <c r="J63" i="9"/>
  <c r="M63" i="9" s="1"/>
  <c r="N63" i="9" s="1"/>
  <c r="O63" i="9" s="1"/>
  <c r="I63" i="9"/>
  <c r="G63" i="9"/>
  <c r="F63" i="9"/>
  <c r="K62" i="9"/>
  <c r="J62" i="9"/>
  <c r="I62" i="9"/>
  <c r="G62" i="9"/>
  <c r="F62" i="9"/>
  <c r="K61" i="9"/>
  <c r="J61" i="9"/>
  <c r="I61" i="9"/>
  <c r="G61" i="9"/>
  <c r="F61" i="9"/>
  <c r="K60" i="9"/>
  <c r="J60" i="9"/>
  <c r="I60" i="9"/>
  <c r="G60" i="9"/>
  <c r="F60" i="9"/>
  <c r="M60" i="9" s="1"/>
  <c r="N60" i="9" s="1"/>
  <c r="K59" i="9"/>
  <c r="J59" i="9"/>
  <c r="I59" i="9"/>
  <c r="G59" i="9"/>
  <c r="F59" i="9"/>
  <c r="M59" i="9" s="1"/>
  <c r="N59" i="9" s="1"/>
  <c r="K58" i="9"/>
  <c r="J58" i="9"/>
  <c r="I58" i="9"/>
  <c r="G58" i="9"/>
  <c r="F58" i="9"/>
  <c r="K57" i="9"/>
  <c r="J57" i="9"/>
  <c r="I57" i="9"/>
  <c r="G57" i="9"/>
  <c r="F57" i="9"/>
  <c r="K56" i="9"/>
  <c r="J56" i="9"/>
  <c r="I56" i="9"/>
  <c r="G56" i="9"/>
  <c r="F56" i="9"/>
  <c r="K55" i="9"/>
  <c r="J55" i="9"/>
  <c r="I55" i="9"/>
  <c r="G55" i="9"/>
  <c r="F55" i="9"/>
  <c r="K54" i="9"/>
  <c r="J54" i="9"/>
  <c r="I54" i="9"/>
  <c r="G54" i="9"/>
  <c r="F54" i="9"/>
  <c r="K53" i="9"/>
  <c r="J53" i="9"/>
  <c r="I53" i="9"/>
  <c r="G53" i="9"/>
  <c r="F53" i="9"/>
  <c r="K52" i="9"/>
  <c r="J52" i="9"/>
  <c r="I52" i="9"/>
  <c r="G52" i="9"/>
  <c r="F52" i="9"/>
  <c r="K51" i="9"/>
  <c r="J51" i="9"/>
  <c r="I51" i="9"/>
  <c r="G51" i="9"/>
  <c r="F51" i="9"/>
  <c r="K50" i="9"/>
  <c r="J50" i="9"/>
  <c r="I50" i="9"/>
  <c r="G50" i="9"/>
  <c r="F50" i="9"/>
  <c r="K49" i="9"/>
  <c r="J49" i="9"/>
  <c r="I49" i="9"/>
  <c r="G49" i="9"/>
  <c r="F49" i="9"/>
  <c r="K48" i="9"/>
  <c r="J48" i="9"/>
  <c r="I48" i="9"/>
  <c r="G48" i="9"/>
  <c r="F48" i="9"/>
  <c r="K47" i="9"/>
  <c r="J47" i="9"/>
  <c r="I47" i="9"/>
  <c r="G47" i="9"/>
  <c r="F47" i="9"/>
  <c r="K46" i="9"/>
  <c r="J46" i="9"/>
  <c r="I46" i="9"/>
  <c r="G46" i="9"/>
  <c r="F46" i="9"/>
  <c r="K45" i="9"/>
  <c r="J45" i="9"/>
  <c r="I45" i="9"/>
  <c r="G45" i="9"/>
  <c r="F45" i="9"/>
  <c r="K44" i="9"/>
  <c r="J44" i="9"/>
  <c r="I44" i="9"/>
  <c r="G44" i="9"/>
  <c r="F44" i="9"/>
  <c r="K43" i="9"/>
  <c r="J43" i="9"/>
  <c r="I43" i="9"/>
  <c r="G43" i="9"/>
  <c r="F43" i="9"/>
  <c r="K42" i="9"/>
  <c r="J42" i="9"/>
  <c r="I42" i="9"/>
  <c r="G42" i="9"/>
  <c r="F42" i="9"/>
  <c r="K41" i="9"/>
  <c r="J41" i="9"/>
  <c r="I41" i="9"/>
  <c r="G41" i="9"/>
  <c r="F41" i="9"/>
  <c r="K40" i="9"/>
  <c r="J40" i="9"/>
  <c r="I40" i="9"/>
  <c r="G40" i="9"/>
  <c r="F40" i="9"/>
  <c r="K39" i="9"/>
  <c r="J39" i="9"/>
  <c r="I39" i="9"/>
  <c r="G39" i="9"/>
  <c r="F39" i="9"/>
  <c r="K38" i="9"/>
  <c r="J38" i="9"/>
  <c r="I38" i="9"/>
  <c r="G38" i="9"/>
  <c r="F38" i="9"/>
  <c r="K37" i="9"/>
  <c r="J37" i="9"/>
  <c r="I37" i="9"/>
  <c r="G37" i="9"/>
  <c r="F37" i="9"/>
  <c r="K36" i="9"/>
  <c r="J36" i="9"/>
  <c r="I36" i="9"/>
  <c r="G36" i="9"/>
  <c r="F36" i="9"/>
  <c r="K35" i="9"/>
  <c r="J35" i="9"/>
  <c r="I35" i="9"/>
  <c r="G35" i="9"/>
  <c r="F35" i="9"/>
  <c r="K34" i="9"/>
  <c r="J34" i="9"/>
  <c r="I34" i="9"/>
  <c r="G34" i="9"/>
  <c r="F34" i="9"/>
  <c r="K33" i="9"/>
  <c r="J33" i="9"/>
  <c r="I33" i="9"/>
  <c r="G33" i="9"/>
  <c r="F33" i="9"/>
  <c r="K32" i="9"/>
  <c r="J32" i="9"/>
  <c r="I32" i="9"/>
  <c r="G32" i="9"/>
  <c r="F32" i="9"/>
  <c r="K31" i="9"/>
  <c r="J31" i="9"/>
  <c r="I31" i="9"/>
  <c r="G31" i="9"/>
  <c r="F31" i="9"/>
  <c r="K30" i="9"/>
  <c r="J30" i="9"/>
  <c r="I30" i="9"/>
  <c r="G30" i="9"/>
  <c r="F30" i="9"/>
  <c r="K29" i="9"/>
  <c r="J29" i="9"/>
  <c r="I29" i="9"/>
  <c r="G29" i="9"/>
  <c r="F29" i="9"/>
  <c r="K28" i="9"/>
  <c r="J28" i="9"/>
  <c r="I28" i="9"/>
  <c r="G28" i="9"/>
  <c r="F28" i="9"/>
  <c r="K27" i="9"/>
  <c r="J27" i="9"/>
  <c r="I27" i="9"/>
  <c r="G27" i="9"/>
  <c r="F27" i="9"/>
  <c r="K26" i="9"/>
  <c r="J26" i="9"/>
  <c r="I26" i="9"/>
  <c r="G26" i="9"/>
  <c r="F26" i="9"/>
  <c r="K25" i="9"/>
  <c r="J25" i="9"/>
  <c r="I25" i="9"/>
  <c r="G25" i="9"/>
  <c r="F25" i="9"/>
  <c r="K24" i="9"/>
  <c r="J24" i="9"/>
  <c r="I24" i="9"/>
  <c r="G24" i="9"/>
  <c r="F24" i="9"/>
  <c r="K23" i="9"/>
  <c r="J23" i="9"/>
  <c r="I23" i="9"/>
  <c r="G23" i="9"/>
  <c r="F23" i="9"/>
  <c r="K22" i="9"/>
  <c r="J22" i="9"/>
  <c r="I22" i="9"/>
  <c r="G22" i="9"/>
  <c r="F22" i="9"/>
  <c r="K21" i="9"/>
  <c r="J21" i="9"/>
  <c r="I21" i="9"/>
  <c r="G21" i="9"/>
  <c r="F21" i="9"/>
  <c r="K20" i="9"/>
  <c r="J20" i="9"/>
  <c r="I20" i="9"/>
  <c r="G20" i="9"/>
  <c r="F20" i="9"/>
  <c r="L19" i="9"/>
  <c r="K19" i="9"/>
  <c r="J19" i="9"/>
  <c r="I19" i="9"/>
  <c r="G19" i="9"/>
  <c r="F19" i="9"/>
  <c r="L18" i="9"/>
  <c r="K18" i="9"/>
  <c r="J18" i="9"/>
  <c r="I18" i="9"/>
  <c r="M18" i="9" s="1"/>
  <c r="N18" i="9" s="1"/>
  <c r="G18" i="9"/>
  <c r="F18" i="9"/>
  <c r="L17" i="9"/>
  <c r="K17" i="9"/>
  <c r="J17" i="9"/>
  <c r="I17" i="9"/>
  <c r="M17" i="9" s="1"/>
  <c r="N17" i="9" s="1"/>
  <c r="G17" i="9"/>
  <c r="F17" i="9"/>
  <c r="L16" i="9"/>
  <c r="K16" i="9"/>
  <c r="J16" i="9"/>
  <c r="I16" i="9"/>
  <c r="G16" i="9"/>
  <c r="F16" i="9"/>
  <c r="L15" i="9"/>
  <c r="K15" i="9"/>
  <c r="J15" i="9"/>
  <c r="I15" i="9"/>
  <c r="G15" i="9"/>
  <c r="F15" i="9"/>
  <c r="L14" i="9"/>
  <c r="K14" i="9"/>
  <c r="J14" i="9"/>
  <c r="I14" i="9"/>
  <c r="M14" i="9" s="1"/>
  <c r="N14" i="9" s="1"/>
  <c r="G14" i="9"/>
  <c r="F14" i="9"/>
  <c r="N71" i="7"/>
  <c r="O71" i="7" s="1"/>
  <c r="N70" i="7"/>
  <c r="O70" i="7"/>
  <c r="N69" i="7"/>
  <c r="O69" i="7" s="1"/>
  <c r="N68" i="7"/>
  <c r="O68" i="7" s="1"/>
  <c r="N67" i="7"/>
  <c r="L65" i="9"/>
  <c r="M65" i="9" s="1"/>
  <c r="N65" i="9" s="1"/>
  <c r="O65" i="9" s="1"/>
  <c r="N66" i="7"/>
  <c r="O66" i="7" s="1"/>
  <c r="N65" i="7"/>
  <c r="L63" i="9"/>
  <c r="N64" i="7"/>
  <c r="L62" i="9"/>
  <c r="M62" i="9" s="1"/>
  <c r="N62" i="9" s="1"/>
  <c r="N63" i="7"/>
  <c r="L61" i="9"/>
  <c r="M61" i="9" s="1"/>
  <c r="N61" i="9" s="1"/>
  <c r="N62" i="7"/>
  <c r="L60" i="9"/>
  <c r="N61" i="7"/>
  <c r="L59" i="9"/>
  <c r="N60" i="7"/>
  <c r="L58" i="9"/>
  <c r="N59" i="7"/>
  <c r="L57" i="9"/>
  <c r="N58" i="7"/>
  <c r="L56" i="9"/>
  <c r="N57" i="7"/>
  <c r="L55" i="9"/>
  <c r="M55" i="9" s="1"/>
  <c r="N55" i="9" s="1"/>
  <c r="N56" i="7"/>
  <c r="L54" i="9"/>
  <c r="M54" i="9" s="1"/>
  <c r="N54" i="9" s="1"/>
  <c r="N55" i="7"/>
  <c r="L53" i="9"/>
  <c r="N54" i="7"/>
  <c r="L52" i="9"/>
  <c r="N53" i="7"/>
  <c r="O53" i="7" s="1"/>
  <c r="L51" i="9"/>
  <c r="N52" i="7"/>
  <c r="L50" i="9"/>
  <c r="M50" i="9" s="1"/>
  <c r="N50" i="9" s="1"/>
  <c r="N51" i="7"/>
  <c r="L49" i="9"/>
  <c r="M49" i="9" s="1"/>
  <c r="N49" i="9" s="1"/>
  <c r="N50" i="7"/>
  <c r="L48" i="9"/>
  <c r="M48" i="9" s="1"/>
  <c r="N48" i="9" s="1"/>
  <c r="N49" i="7"/>
  <c r="L47" i="9"/>
  <c r="M47" i="9" s="1"/>
  <c r="N47" i="9" s="1"/>
  <c r="N48" i="7"/>
  <c r="L46" i="9"/>
  <c r="N47" i="7"/>
  <c r="L45" i="9"/>
  <c r="M45" i="9" s="1"/>
  <c r="N45" i="9" s="1"/>
  <c r="N46" i="7"/>
  <c r="L44" i="9"/>
  <c r="N45" i="7"/>
  <c r="L43" i="9"/>
  <c r="N44" i="7"/>
  <c r="L42" i="9"/>
  <c r="N43" i="7"/>
  <c r="L41" i="9"/>
  <c r="N42" i="7"/>
  <c r="L40" i="9"/>
  <c r="N41" i="7"/>
  <c r="L39" i="9"/>
  <c r="N40" i="7"/>
  <c r="L38" i="9"/>
  <c r="M38" i="9" s="1"/>
  <c r="N38" i="9" s="1"/>
  <c r="N39" i="7"/>
  <c r="L37" i="9"/>
  <c r="M37" i="9" s="1"/>
  <c r="N37" i="9" s="1"/>
  <c r="N38" i="7"/>
  <c r="L36" i="9"/>
  <c r="N37" i="7"/>
  <c r="L35" i="9"/>
  <c r="N36" i="7"/>
  <c r="L34" i="9"/>
  <c r="M34" i="9" s="1"/>
  <c r="N34" i="9" s="1"/>
  <c r="N35" i="7"/>
  <c r="L33" i="9"/>
  <c r="N34" i="7"/>
  <c r="L32" i="9"/>
  <c r="N33" i="7"/>
  <c r="L31" i="9"/>
  <c r="N32" i="7"/>
  <c r="L30" i="9"/>
  <c r="N31" i="7"/>
  <c r="L29" i="9"/>
  <c r="N30" i="7"/>
  <c r="L28" i="9"/>
  <c r="N29" i="7"/>
  <c r="O29" i="7" s="1"/>
  <c r="L27" i="9"/>
  <c r="M27" i="9" s="1"/>
  <c r="N27" i="9" s="1"/>
  <c r="N28" i="7"/>
  <c r="L26" i="9"/>
  <c r="M26" i="9" s="1"/>
  <c r="N26" i="9" s="1"/>
  <c r="N27" i="7"/>
  <c r="L25" i="9"/>
  <c r="M25" i="9" s="1"/>
  <c r="N25" i="9" s="1"/>
  <c r="N26" i="7"/>
  <c r="L24" i="9"/>
  <c r="N25" i="7"/>
  <c r="L23" i="9"/>
  <c r="N24" i="7"/>
  <c r="L22" i="9"/>
  <c r="M22" i="9" s="1"/>
  <c r="N22" i="9" s="1"/>
  <c r="N23" i="7"/>
  <c r="L21" i="9"/>
  <c r="M21" i="9" s="1"/>
  <c r="N21" i="9" s="1"/>
  <c r="N22" i="7"/>
  <c r="L20" i="9"/>
  <c r="N21" i="7"/>
  <c r="O21" i="7"/>
  <c r="N20" i="7"/>
  <c r="O20" i="7"/>
  <c r="N19" i="7"/>
  <c r="O19" i="7"/>
  <c r="N18" i="7"/>
  <c r="O18" i="7"/>
  <c r="N17" i="7"/>
  <c r="O17" i="7"/>
  <c r="N16" i="7"/>
  <c r="O16" i="7"/>
  <c r="M16" i="9"/>
  <c r="N16" i="9" s="1"/>
  <c r="M15" i="9"/>
  <c r="N15" i="9" s="1"/>
  <c r="M19" i="9"/>
  <c r="N19" i="9" s="1"/>
  <c r="L69" i="9"/>
  <c r="M29" i="9"/>
  <c r="N29" i="9" s="1"/>
  <c r="M33" i="9"/>
  <c r="N33" i="9" s="1"/>
  <c r="M41" i="9"/>
  <c r="N41" i="9" s="1"/>
  <c r="M53" i="9"/>
  <c r="N53" i="9" s="1"/>
  <c r="M57" i="9"/>
  <c r="N57" i="9" s="1"/>
  <c r="L66" i="9"/>
  <c r="M20" i="9"/>
  <c r="N20" i="9" s="1"/>
  <c r="M24" i="9"/>
  <c r="N24" i="9" s="1"/>
  <c r="M28" i="9"/>
  <c r="N28" i="9" s="1"/>
  <c r="M32" i="9"/>
  <c r="N32" i="9" s="1"/>
  <c r="M36" i="9"/>
  <c r="N36" i="9" s="1"/>
  <c r="M40" i="9"/>
  <c r="N40" i="9" s="1"/>
  <c r="M44" i="9"/>
  <c r="N44" i="9" s="1"/>
  <c r="M52" i="9"/>
  <c r="N52" i="9" s="1"/>
  <c r="M56" i="9"/>
  <c r="N56" i="9" s="1"/>
  <c r="L67" i="9"/>
  <c r="M67" i="9" s="1"/>
  <c r="N67" i="9" s="1"/>
  <c r="O67" i="9" s="1"/>
  <c r="M23" i="9"/>
  <c r="N23" i="9" s="1"/>
  <c r="M31" i="9"/>
  <c r="N31" i="9" s="1"/>
  <c r="M35" i="9"/>
  <c r="N35" i="9" s="1"/>
  <c r="M39" i="9"/>
  <c r="N39" i="9" s="1"/>
  <c r="M43" i="9"/>
  <c r="N43" i="9" s="1"/>
  <c r="M51" i="9"/>
  <c r="N51" i="9" s="1"/>
  <c r="L68" i="9"/>
  <c r="M68" i="9" s="1"/>
  <c r="N68" i="9" s="1"/>
  <c r="O68" i="9" s="1"/>
  <c r="M30" i="9"/>
  <c r="N30" i="9" s="1"/>
  <c r="M42" i="9"/>
  <c r="N42" i="9" s="1"/>
  <c r="M46" i="9"/>
  <c r="N46" i="9" s="1"/>
  <c r="M58" i="9"/>
  <c r="N58" i="9" s="1"/>
  <c r="O23" i="7"/>
  <c r="O25" i="7"/>
  <c r="O27" i="7"/>
  <c r="O31" i="7"/>
  <c r="O33" i="7"/>
  <c r="O35" i="7"/>
  <c r="O37" i="7"/>
  <c r="O39" i="7"/>
  <c r="O41" i="7"/>
  <c r="O43" i="7"/>
  <c r="O45" i="7"/>
  <c r="O47" i="7"/>
  <c r="O49" i="7"/>
  <c r="O51" i="7"/>
  <c r="O55" i="7"/>
  <c r="O57" i="7"/>
  <c r="O59" i="7"/>
  <c r="O61" i="7"/>
  <c r="O63" i="7"/>
  <c r="O65" i="7"/>
  <c r="O67" i="7"/>
  <c r="L64" i="9"/>
  <c r="M64" i="9"/>
  <c r="N64" i="9" s="1"/>
  <c r="O64" i="9" s="1"/>
  <c r="O22" i="7"/>
  <c r="O24" i="7"/>
  <c r="O26" i="7"/>
  <c r="O28" i="7"/>
  <c r="O30" i="7"/>
  <c r="O32" i="7"/>
  <c r="O34" i="7"/>
  <c r="O36" i="7"/>
  <c r="O38" i="7"/>
  <c r="O40" i="7"/>
  <c r="O42" i="7"/>
  <c r="O44" i="7"/>
  <c r="O46" i="7"/>
  <c r="O48" i="7"/>
  <c r="O50" i="7"/>
  <c r="O52" i="7"/>
  <c r="O54" i="7"/>
  <c r="O56" i="7"/>
  <c r="O58" i="7"/>
  <c r="O60" i="7"/>
  <c r="O62" i="7"/>
  <c r="O64" i="7"/>
  <c r="P44" i="9" l="1"/>
  <c r="O44" i="9"/>
  <c r="O54" i="9"/>
  <c r="P54" i="9"/>
  <c r="O21" i="9"/>
  <c r="P21" i="9"/>
  <c r="O53" i="9"/>
  <c r="P53" i="9"/>
  <c r="P17" i="9"/>
  <c r="O17" i="9"/>
  <c r="O57" i="9"/>
  <c r="P57" i="9"/>
  <c r="P14" i="9"/>
  <c r="P71" i="9" s="1"/>
  <c r="O14" i="9"/>
  <c r="P48" i="9"/>
  <c r="O48" i="9"/>
  <c r="P47" i="9"/>
  <c r="O47" i="9"/>
  <c r="P30" i="9"/>
  <c r="O30" i="9"/>
  <c r="O19" i="9"/>
  <c r="P19" i="9"/>
  <c r="P36" i="9"/>
  <c r="O36" i="9"/>
  <c r="P45" i="9"/>
  <c r="O45" i="9"/>
  <c r="O34" i="9"/>
  <c r="P34" i="9"/>
  <c r="P58" i="9"/>
  <c r="O58" i="9"/>
  <c r="O29" i="9"/>
  <c r="P29" i="9"/>
  <c r="O15" i="9"/>
  <c r="P15" i="9"/>
  <c r="P37" i="9"/>
  <c r="O37" i="9"/>
  <c r="O61" i="9"/>
  <c r="P61" i="9"/>
  <c r="O40" i="9"/>
  <c r="P40" i="9"/>
  <c r="O32" i="9"/>
  <c r="P32" i="9"/>
  <c r="P28" i="9"/>
  <c r="O28" i="9"/>
  <c r="P22" i="9"/>
  <c r="O22" i="9"/>
  <c r="O41" i="9"/>
  <c r="P41" i="9"/>
  <c r="O46" i="9"/>
  <c r="P46" i="9"/>
  <c r="O42" i="9"/>
  <c r="P42" i="9"/>
  <c r="O51" i="9"/>
  <c r="P51" i="9"/>
  <c r="O25" i="9"/>
  <c r="P25" i="9"/>
  <c r="P49" i="9"/>
  <c r="O49" i="9"/>
  <c r="P43" i="9"/>
  <c r="O43" i="9"/>
  <c r="P16" i="9"/>
  <c r="O16" i="9"/>
  <c r="O24" i="9"/>
  <c r="P24" i="9"/>
  <c r="O26" i="9"/>
  <c r="P26" i="9"/>
  <c r="O55" i="9"/>
  <c r="P55" i="9"/>
  <c r="P20" i="9"/>
  <c r="O20" i="9"/>
  <c r="P33" i="9"/>
  <c r="O33" i="9"/>
  <c r="O39" i="9"/>
  <c r="P39" i="9"/>
  <c r="O38" i="9"/>
  <c r="P38" i="9"/>
  <c r="O62" i="9"/>
  <c r="P62" i="9"/>
  <c r="O27" i="9"/>
  <c r="P27" i="9"/>
  <c r="P23" i="9"/>
  <c r="O23" i="9"/>
  <c r="O59" i="9"/>
  <c r="P59" i="9"/>
  <c r="P56" i="9"/>
  <c r="O56" i="9"/>
  <c r="O60" i="9"/>
  <c r="P60" i="9"/>
  <c r="P18" i="9"/>
  <c r="O18" i="9"/>
  <c r="P50" i="9"/>
  <c r="O50" i="9"/>
  <c r="O35" i="9"/>
  <c r="P35" i="9"/>
  <c r="O31" i="9"/>
  <c r="P31" i="9"/>
  <c r="O52" i="9"/>
  <c r="P52" i="9"/>
</calcChain>
</file>

<file path=xl/sharedStrings.xml><?xml version="1.0" encoding="utf-8"?>
<sst xmlns="http://schemas.openxmlformats.org/spreadsheetml/2006/main" count="692" uniqueCount="384">
  <si>
    <t>TRƯỜNG ĐẠI HỌC VĂN LANG</t>
  </si>
  <si>
    <t>KHOA CÔNG NGHỆ THÔNG TIN</t>
  </si>
  <si>
    <r>
      <t xml:space="preserve">KẾ HOẠCH VÀ QUY TRÌNH THỰC HIỆN  
</t>
    </r>
    <r>
      <rPr>
        <b/>
        <sz val="18"/>
        <color rgb="FF00B050"/>
        <rFont val="Times New Roman"/>
      </rPr>
      <t>(71ITGR40106 - ĐỒ ÁN TỐT NGHIỆP - NGÀNH CÔNG NGHỆ THÔNG TIN)</t>
    </r>
  </si>
  <si>
    <t>HỌC KỲ 02, NĂM HỌC 2025-2026</t>
  </si>
  <si>
    <t>KHÓA 28</t>
  </si>
  <si>
    <t>Thời gian chuẩn bị</t>
  </si>
  <si>
    <t>3 tuần (05/1/2026-24/1/2026)</t>
  </si>
  <si>
    <t>Tổng số tuần nhóm sinh viên thực hiện</t>
  </si>
  <si>
    <t>15 tuần (26/1/2026 -&gt; 30/5/2026)</t>
  </si>
  <si>
    <t>Thời gian báo cáo và nộp điểm</t>
  </si>
  <si>
    <t>3 tuần (01/6/2026 -&gt; 20/6/2026)</t>
  </si>
  <si>
    <t>Số lượng sinh viên (dự kiến)</t>
  </si>
  <si>
    <t>TT</t>
  </si>
  <si>
    <t>GIAI ĐOẠN</t>
  </si>
  <si>
    <t>CÔNG VIỆC</t>
  </si>
  <si>
    <t>NGƯỜI 
THỰC HIỆN</t>
  </si>
  <si>
    <t>SỐ TUẦN</t>
  </si>
  <si>
    <t>01/2026</t>
  </si>
  <si>
    <t>2/2026</t>
  </si>
  <si>
    <t>3/2026</t>
  </si>
  <si>
    <t>4/2026</t>
  </si>
  <si>
    <t>5/2026</t>
  </si>
  <si>
    <t>6/2026</t>
  </si>
  <si>
    <t>5-10/1</t>
  </si>
  <si>
    <t>12-17/1</t>
  </si>
  <si>
    <t>19-24/1</t>
  </si>
  <si>
    <t>26/1-1/2</t>
  </si>
  <si>
    <t>2-8/2</t>
  </si>
  <si>
    <t>9-14/2</t>
  </si>
  <si>
    <t>16-21/2</t>
  </si>
  <si>
    <t>23-28/2</t>
  </si>
  <si>
    <t>2-7/3</t>
  </si>
  <si>
    <t>9-14/3</t>
  </si>
  <si>
    <t>16-21/3</t>
  </si>
  <si>
    <t>23-28/3</t>
  </si>
  <si>
    <t>30/3-4/4</t>
  </si>
  <si>
    <t>6-11/4</t>
  </si>
  <si>
    <t>13-18/4</t>
  </si>
  <si>
    <t>20-25/4</t>
  </si>
  <si>
    <t>27/4-2/5</t>
  </si>
  <si>
    <t>4-9/5</t>
  </si>
  <si>
    <t>11-16/5</t>
  </si>
  <si>
    <t>18-23/5</t>
  </si>
  <si>
    <t>25-30/5</t>
  </si>
  <si>
    <t>1-6/6</t>
  </si>
  <si>
    <t>8-13/6</t>
  </si>
  <si>
    <t>15-20/6</t>
  </si>
  <si>
    <t>Chuẩn bị</t>
  </si>
  <si>
    <t>Thu thập và chuẩn bị yêu cầu đề tài từ các giảng viên</t>
  </si>
  <si>
    <t>Thầy/Cô</t>
  </si>
  <si>
    <t>Đăng ký thực hiện KLTN</t>
  </si>
  <si>
    <t>Sinh viên</t>
  </si>
  <si>
    <t>Duyệt đăng ký của sinh viên</t>
  </si>
  <si>
    <t>Bộ môn</t>
  </si>
  <si>
    <t>Công bố danh sách sinh viên đủ điều kiện và đề tài sẵn có để sinh viên chọn</t>
  </si>
  <si>
    <t>Đăng ký đề tài</t>
  </si>
  <si>
    <t>Công bố danh sách sinh viên và đề tài đã được chọn cùng với thông tin GVHD</t>
  </si>
  <si>
    <t>Thực hiện</t>
  </si>
  <si>
    <t>Liên lạc với Mentor và triển khai thực hiện KLTN, nộp Đơn giấy xin đăng ký thực hiện có chữ ký sống về cho Khoa.</t>
  </si>
  <si>
    <t>Sinh viên, Mentor</t>
  </si>
  <si>
    <t>Thực hiện và nộp Đề cương KLTN cho bộ môn</t>
  </si>
  <si>
    <t>Phê duyệt Đề cương KLTN, nếu đề cương được duyệt Khoa sẽ gửi danh sách cho Phòng Đào tạo đăng ký môn, lúc đó sinh viên đóng học phí.</t>
  </si>
  <si>
    <t>Thực hiện Chỉnh sửa Đề cương KLTN theo góp ý</t>
  </si>
  <si>
    <t>Thực hiện tiếp tục KLTN dưới sự hướng dẫn của Mentor</t>
  </si>
  <si>
    <t>Báo cáo</t>
  </si>
  <si>
    <t>Báo cáo giữa kỳ trình bày tiến độ thực hiện KLTN</t>
  </si>
  <si>
    <t>Sinh viên, Hội đồng</t>
  </si>
  <si>
    <t>Chỉnh sửa theo góp ý của Hội đồng và tiếp tục thực hiện KLTN</t>
  </si>
  <si>
    <t>Hoàn thiện Báo cáo KLTN (bản nháp) và gửi Mentor Review nhận xét có cho ra Báo cáo hay không</t>
  </si>
  <si>
    <t>Review và góp ý, nhận xét để sinh viên chỉnh sửa Báo cáo KLTN</t>
  </si>
  <si>
    <t>Nộp 1 bản Báo cáo KLTN(bản chính) cho bộ môn lập Hội đồng báo cáo</t>
  </si>
  <si>
    <t>Chuẩn bị Bảo vệ KLTN trước Hội đồng</t>
  </si>
  <si>
    <t>Mentor, Sinh viên</t>
  </si>
  <si>
    <t>Bảo vệ và Hội đồng chấm điểm và nhận xét, tổng kết</t>
  </si>
  <si>
    <t>Sinh viên, Hội đồng, Mentor</t>
  </si>
  <si>
    <t xml:space="preserve">Gửi điểm tổng kết và góp ý của Hội đồng cho sinh viên </t>
  </si>
  <si>
    <t>Khoa</t>
  </si>
  <si>
    <t>Hoàn thiện</t>
  </si>
  <si>
    <t>Chỉnh sửa theo góp ý của Hội đồng và làm file xác nhận những nội dung chỉnh sửa</t>
  </si>
  <si>
    <t>Chấm điểm sinh viên dựa trên những gì sinh viên đã làm và chỉnh sửa</t>
  </si>
  <si>
    <t>Mentor</t>
  </si>
  <si>
    <t>Nộp 1 bản Báo cáo sau cùng + 1 Phiếu xác nhận chỉnh sửa + 1 Phiếu chấm điểm GVHD cho Khoa</t>
  </si>
  <si>
    <t>Tổng kết điểm, nộp điểm tổng kết cho phòng khảo thí và công bố cho sinh viên</t>
  </si>
  <si>
    <t>TP. Hồ Chí Minh, ngày 28 tháng 01 năm 2026</t>
  </si>
  <si>
    <t>Người lập danh sách</t>
  </si>
  <si>
    <t>LÝ THỊ HUYỀN CHÂU</t>
  </si>
  <si>
    <t>DANH SÁCH GIẢNG VIÊN HƯỚNG DẪN ĐỒ ÁN TỐT NGHIỆP</t>
  </si>
  <si>
    <t>KHOÁ 28 NGÀNH CÔNG NGHỆ THÔNG TIN - CHƯƠNG TRÌNH ĐẶC BIỆT</t>
  </si>
  <si>
    <t>STT</t>
  </si>
  <si>
    <t>Họ và tên</t>
  </si>
  <si>
    <t>Số SV HD</t>
  </si>
  <si>
    <t>Email</t>
  </si>
  <si>
    <t>Nguyễn Trương Khang</t>
  </si>
  <si>
    <t>khang.nt@vlu.edu.vn</t>
  </si>
  <si>
    <t>Nguyễn Đắc Quỳnh Mi</t>
  </si>
  <si>
    <t>mi.ndq@vlu.edu.vn</t>
  </si>
  <si>
    <t>Nguyễn Trí Hải</t>
  </si>
  <si>
    <t>hai.nguyentri@vlu.edu.vn</t>
  </si>
  <si>
    <t>Nguyễn Thanh Huy</t>
  </si>
  <si>
    <t>huy.nt@vlu.edu.vn</t>
  </si>
  <si>
    <t>Võ Xuân Thanh</t>
  </si>
  <si>
    <t>thanh.vx@vlu.edu.vn</t>
  </si>
  <si>
    <t>PGS. TS. Đặng Trần Khánh</t>
  </si>
  <si>
    <t>khanh.dt@vlu.edu.vn</t>
  </si>
  <si>
    <t>TP. Hồ Chí Minh, ngày 07 tháng 01 năm 2026</t>
  </si>
  <si>
    <t xml:space="preserve">Người lập danh sách </t>
  </si>
  <si>
    <t>ThS. Lý Thị Huyền Châu</t>
  </si>
  <si>
    <t>Q172370</t>
  </si>
  <si>
    <t>Q174263</t>
  </si>
  <si>
    <t>Q17K374</t>
  </si>
  <si>
    <t>Q17M428</t>
  </si>
  <si>
    <t>Q17K360</t>
  </si>
  <si>
    <t>Q17L969</t>
  </si>
  <si>
    <t>Q175107</t>
  </si>
  <si>
    <t>Q170582</t>
  </si>
  <si>
    <t>Q176067</t>
  </si>
  <si>
    <t>Q175747</t>
  </si>
  <si>
    <t>Q170578</t>
  </si>
  <si>
    <t>Q17K861</t>
  </si>
  <si>
    <t>Q170705</t>
  </si>
  <si>
    <t>Q17M984</t>
  </si>
  <si>
    <t>Q176366</t>
  </si>
  <si>
    <t>Q172580</t>
  </si>
  <si>
    <t>Q176997</t>
  </si>
  <si>
    <t>Q171174</t>
  </si>
  <si>
    <t>Q176757</t>
  </si>
  <si>
    <t>Q172572</t>
  </si>
  <si>
    <t>Q17M640</t>
  </si>
  <si>
    <t>Q177536</t>
  </si>
  <si>
    <t>Q171346</t>
  </si>
  <si>
    <t>Q177801</t>
  </si>
  <si>
    <t>VAN LANG UNIVERSITY</t>
  </si>
  <si>
    <t>FACULTY OF INFORMATION TECHNOLOGY</t>
  </si>
  <si>
    <t xml:space="preserve"> THEORY TEST (25%)</t>
  </si>
  <si>
    <t>SEMESTER 02 (2015-2016)</t>
  </si>
  <si>
    <t>- Course Name                 : Database</t>
  </si>
  <si>
    <t>- Instructer Name            : Ly Thi Huyen Chau</t>
  </si>
  <si>
    <t>- Instructer Email            : lythihuyenchau@vanlanguni.edu.vn</t>
  </si>
  <si>
    <t>- Location/Organization   : VAN LANG University, Ho Chi Minh City, Viet Nam</t>
  </si>
  <si>
    <t>- Date of Course              : Jan 2016</t>
  </si>
  <si>
    <t>K20T</t>
  </si>
  <si>
    <t>- Duration                       : 15 weeks</t>
  </si>
  <si>
    <t xml:space="preserve">Note: </t>
  </si>
  <si>
    <t xml:space="preserve">             - The same article: 0 point</t>
  </si>
  <si>
    <t>No</t>
  </si>
  <si>
    <t>ID</t>
  </si>
  <si>
    <t>FULL NAME</t>
  </si>
  <si>
    <t xml:space="preserve">  SESSION
DOB</t>
  </si>
  <si>
    <t>Ques 1: (1.5p)</t>
  </si>
  <si>
    <t>Ques 2: (1.5p)</t>
  </si>
  <si>
    <t>Ques 3: Data Normalization (4.0p)</t>
  </si>
  <si>
    <t>Ques 4: Relational Algebra (3.0p)</t>
  </si>
  <si>
    <t>Point -</t>
  </si>
  <si>
    <t>SUM</t>
  </si>
  <si>
    <t>SCORE</t>
  </si>
  <si>
    <t>Vocabulary</t>
  </si>
  <si>
    <t>Theory</t>
  </si>
  <si>
    <t>Database Schema</t>
  </si>
  <si>
    <t>Key
(1.5p)</t>
  </si>
  <si>
    <t>Decomposition 
(2.5p)</t>
  </si>
  <si>
    <t>Calculate
(1.5p)</t>
  </si>
  <si>
    <t>Language
(1.5p)</t>
  </si>
  <si>
    <t>T144296</t>
  </si>
  <si>
    <t>NGUYỄN HOÀNG HOÀI</t>
  </si>
  <si>
    <t>ANH</t>
  </si>
  <si>
    <t>24/01/96</t>
  </si>
  <si>
    <t>T144647</t>
  </si>
  <si>
    <t>LÊ THỊ DIỄM</t>
  </si>
  <si>
    <t>CA</t>
  </si>
  <si>
    <t>28/02/96</t>
  </si>
  <si>
    <t>T143054</t>
  </si>
  <si>
    <t>PHẠM PHÚ</t>
  </si>
  <si>
    <t>CHƯƠNG</t>
  </si>
  <si>
    <t>19/04/93</t>
  </si>
  <si>
    <t>T137330</t>
  </si>
  <si>
    <t xml:space="preserve">LÊ MINH </t>
  </si>
  <si>
    <t>ĐỨC</t>
  </si>
  <si>
    <t>15/08/93</t>
  </si>
  <si>
    <t>T144009</t>
  </si>
  <si>
    <t>NGUYỄN ĐĂNG ĐẠI</t>
  </si>
  <si>
    <t>HIỆP</t>
  </si>
  <si>
    <t>14/08/96</t>
  </si>
  <si>
    <t>T146330</t>
  </si>
  <si>
    <t>TRẦN TRUNG</t>
  </si>
  <si>
    <t>HIẾU</t>
  </si>
  <si>
    <t>03/10/96</t>
  </si>
  <si>
    <t>T143334</t>
  </si>
  <si>
    <t>TRẦN TẤN</t>
  </si>
  <si>
    <t>22/08/96</t>
  </si>
  <si>
    <t>T146150</t>
  </si>
  <si>
    <t>DƯƠNG MINH</t>
  </si>
  <si>
    <t>31/03/96</t>
  </si>
  <si>
    <t>T143639</t>
  </si>
  <si>
    <t>HÀ NGỌC</t>
  </si>
  <si>
    <t>HƯNG</t>
  </si>
  <si>
    <t>20/02/96</t>
  </si>
  <si>
    <t>T143324</t>
  </si>
  <si>
    <t>NGUYỄN CAO</t>
  </si>
  <si>
    <t>LÂM</t>
  </si>
  <si>
    <t>02/05/96</t>
  </si>
  <si>
    <t>T143662</t>
  </si>
  <si>
    <t>THÂN DUY</t>
  </si>
  <si>
    <t>LINH</t>
  </si>
  <si>
    <t>01/04/96</t>
  </si>
  <si>
    <t>T140026</t>
  </si>
  <si>
    <t>NGUYỄN VĂN ĐỨC</t>
  </si>
  <si>
    <t>13/09/94</t>
  </si>
  <si>
    <t>T142772</t>
  </si>
  <si>
    <t>MAI BÁ</t>
  </si>
  <si>
    <t>LỘC</t>
  </si>
  <si>
    <t>02/01/96</t>
  </si>
  <si>
    <t>T143407</t>
  </si>
  <si>
    <t>NGUYỄN THANH</t>
  </si>
  <si>
    <t>LONG</t>
  </si>
  <si>
    <t>28/04/96</t>
  </si>
  <si>
    <t>T144054</t>
  </si>
  <si>
    <t>NGUYỄN HỮU</t>
  </si>
  <si>
    <t>LUÂN</t>
  </si>
  <si>
    <t>05/09/96</t>
  </si>
  <si>
    <t>T145181</t>
  </si>
  <si>
    <t>DƯƠNG THÀNH CÔNG</t>
  </si>
  <si>
    <t>LÝ</t>
  </si>
  <si>
    <t>26/08/95</t>
  </si>
  <si>
    <t>T144231</t>
  </si>
  <si>
    <t>LÊ</t>
  </si>
  <si>
    <t>MINH</t>
  </si>
  <si>
    <t>15/08/96</t>
  </si>
  <si>
    <t>T143150</t>
  </si>
  <si>
    <t>NGÔ HỮU</t>
  </si>
  <si>
    <t>NHÂN</t>
  </si>
  <si>
    <t>25/11/96</t>
  </si>
  <si>
    <t>T145448</t>
  </si>
  <si>
    <t>CAO MINH</t>
  </si>
  <si>
    <t>NHẬT</t>
  </si>
  <si>
    <t>25/12/96</t>
  </si>
  <si>
    <t>T143906</t>
  </si>
  <si>
    <t>MAI HOÀNG</t>
  </si>
  <si>
    <t>PHÚC</t>
  </si>
  <si>
    <t>T143472</t>
  </si>
  <si>
    <t>LIÊU HUY</t>
  </si>
  <si>
    <t>PHƯƠNG</t>
  </si>
  <si>
    <t>02/06/96</t>
  </si>
  <si>
    <t>T143666</t>
  </si>
  <si>
    <t>VĂNG VĂN</t>
  </si>
  <si>
    <t>QUÍ</t>
  </si>
  <si>
    <t>12/11/95</t>
  </si>
  <si>
    <t>T144564</t>
  </si>
  <si>
    <t>CAO ANH</t>
  </si>
  <si>
    <t>QUỐC</t>
  </si>
  <si>
    <t>16/03/96</t>
  </si>
  <si>
    <t>T143649</t>
  </si>
  <si>
    <t>NGUYỄN CÔNG</t>
  </si>
  <si>
    <t>SANG</t>
  </si>
  <si>
    <t>20/11/96</t>
  </si>
  <si>
    <t>T143724</t>
  </si>
  <si>
    <t>LƯU CAO</t>
  </si>
  <si>
    <t>08/04/96</t>
  </si>
  <si>
    <t>T142974</t>
  </si>
  <si>
    <t>LƯƠNG QUỐC</t>
  </si>
  <si>
    <t>THÁI</t>
  </si>
  <si>
    <t>25/06/96</t>
  </si>
  <si>
    <t>T145588</t>
  </si>
  <si>
    <t>HUỲNH CÔNG</t>
  </si>
  <si>
    <t>THÀNH</t>
  </si>
  <si>
    <t>29/10/96</t>
  </si>
  <si>
    <t>T143772</t>
  </si>
  <si>
    <t>NGÔ CÔNG</t>
  </si>
  <si>
    <t>THIÊN</t>
  </si>
  <si>
    <t>18/01/96</t>
  </si>
  <si>
    <t>T144983</t>
  </si>
  <si>
    <t>BÀNH HẢO</t>
  </si>
  <si>
    <t>19/10/93</t>
  </si>
  <si>
    <t>T146057</t>
  </si>
  <si>
    <t>DƯƠNG ĐỨC</t>
  </si>
  <si>
    <t>THỊNH</t>
  </si>
  <si>
    <t>08/02/96</t>
  </si>
  <si>
    <t>T143014</t>
  </si>
  <si>
    <t>PHAN ĐỨC</t>
  </si>
  <si>
    <t>06/01/96</t>
  </si>
  <si>
    <t>F135856</t>
  </si>
  <si>
    <t>PHAN PHƯỚC</t>
  </si>
  <si>
    <t>THỌ</t>
  </si>
  <si>
    <t>16/02/95</t>
  </si>
  <si>
    <t>T144091</t>
  </si>
  <si>
    <t>PHẠM HOÀNG</t>
  </si>
  <si>
    <t>THOẠI</t>
  </si>
  <si>
    <t>23/09/96</t>
  </si>
  <si>
    <t>T139412</t>
  </si>
  <si>
    <t xml:space="preserve">NGUYỄN TRUNG </t>
  </si>
  <si>
    <t>TÍN</t>
  </si>
  <si>
    <t>20/06/95</t>
  </si>
  <si>
    <t>T144726</t>
  </si>
  <si>
    <t>LÂM TẤN</t>
  </si>
  <si>
    <t>TOÀN</t>
  </si>
  <si>
    <t>20/09/96</t>
  </si>
  <si>
    <t>T146151</t>
  </si>
  <si>
    <t>LÊ HÀ</t>
  </si>
  <si>
    <t>TRANG</t>
  </si>
  <si>
    <t>01/01/96</t>
  </si>
  <si>
    <t>T144103</t>
  </si>
  <si>
    <t>NGUYỄN QUỐC</t>
  </si>
  <si>
    <t>TRUNG</t>
  </si>
  <si>
    <t>21/06/96</t>
  </si>
  <si>
    <t>T142636</t>
  </si>
  <si>
    <t>TUẤN</t>
  </si>
  <si>
    <t>22/07/96</t>
  </si>
  <si>
    <t>T140776</t>
  </si>
  <si>
    <t>VŨ HOÀNG MINH</t>
  </si>
  <si>
    <t>17/01/96</t>
  </si>
  <si>
    <t>T145270</t>
  </si>
  <si>
    <t>PHẠM ANH</t>
  </si>
  <si>
    <t>25/01/96</t>
  </si>
  <si>
    <t>T142372</t>
  </si>
  <si>
    <t>TRẦN TRỌNG</t>
  </si>
  <si>
    <t>TỶ</t>
  </si>
  <si>
    <t>16/09/95</t>
  </si>
  <si>
    <t>T143870</t>
  </si>
  <si>
    <t>VÕ HOÀNG</t>
  </si>
  <si>
    <t>VIỆT</t>
  </si>
  <si>
    <t>08/10/96</t>
  </si>
  <si>
    <t>T143143</t>
  </si>
  <si>
    <t>DƯƠNG TẤN</t>
  </si>
  <si>
    <t>VŨ</t>
  </si>
  <si>
    <t>19/08/96</t>
  </si>
  <si>
    <t>T103398</t>
  </si>
  <si>
    <t>HUỲNH MINH</t>
  </si>
  <si>
    <t>ĐẠT</t>
  </si>
  <si>
    <t>22/10/92</t>
  </si>
  <si>
    <t>T137752</t>
  </si>
  <si>
    <t>HUỲNH THỊ LIÊN</t>
  </si>
  <si>
    <t>HOÀN</t>
  </si>
  <si>
    <t>15/10/93</t>
  </si>
  <si>
    <t>T136105</t>
  </si>
  <si>
    <t>HỌC</t>
  </si>
  <si>
    <t>22/05/94</t>
  </si>
  <si>
    <t>T137817</t>
  </si>
  <si>
    <t>NGUYỄN TẤN</t>
  </si>
  <si>
    <t>30/08/94</t>
  </si>
  <si>
    <t>K121881</t>
  </si>
  <si>
    <t>PHAN VŨ</t>
  </si>
  <si>
    <t>HUY</t>
  </si>
  <si>
    <t>31/10/94</t>
  </si>
  <si>
    <t>T143663</t>
  </si>
  <si>
    <t>VÕ CÔNG</t>
  </si>
  <si>
    <t>T123400</t>
  </si>
  <si>
    <t>CAO TẤN</t>
  </si>
  <si>
    <t>PHÁT</t>
  </si>
  <si>
    <t>09/07/93</t>
  </si>
  <si>
    <t>T134306</t>
  </si>
  <si>
    <t>ĐẶNG ĐỨC</t>
  </si>
  <si>
    <t>TIẾN</t>
  </si>
  <si>
    <t>28/12/95</t>
  </si>
  <si>
    <t>T131417</t>
  </si>
  <si>
    <t>NGÔ VƯƠNG ĐỨC</t>
  </si>
  <si>
    <t>TRÍ</t>
  </si>
  <si>
    <t>20/02/95</t>
  </si>
  <si>
    <t>T126567</t>
  </si>
  <si>
    <t>02/11/94</t>
  </si>
  <si>
    <t>T133197</t>
  </si>
  <si>
    <t>LÊ TRẦN THANH</t>
  </si>
  <si>
    <t>TÚ</t>
  </si>
  <si>
    <t>13/03/95</t>
  </si>
  <si>
    <t>T133262</t>
  </si>
  <si>
    <t>TÙNG</t>
  </si>
  <si>
    <t>21/03/94</t>
  </si>
  <si>
    <t>T137622</t>
  </si>
  <si>
    <t xml:space="preserve">VÕ BÁCH </t>
  </si>
  <si>
    <t>18/08/95</t>
  </si>
  <si>
    <t>SUMMARY OF ACADEMIC TRANSCRIPT</t>
  </si>
  <si>
    <t>DOB</t>
  </si>
  <si>
    <t>ATTENDANCE
(5%)</t>
  </si>
  <si>
    <t xml:space="preserve"> BONUS
(5%)</t>
  </si>
  <si>
    <t>MIDTERM TEST (15%)</t>
  </si>
  <si>
    <t>ASSIGNMENT
(15%)</t>
  </si>
  <si>
    <t>PRACTICE
(20%)</t>
  </si>
  <si>
    <t>PROJECT
(15%)</t>
  </si>
  <si>
    <t>THEORY TEST
(25%)</t>
  </si>
  <si>
    <t>FINAL POINTS</t>
  </si>
  <si>
    <t>NOTE</t>
  </si>
  <si>
    <t>a</t>
  </si>
  <si>
    <t>b</t>
  </si>
  <si>
    <t>t146057</t>
  </si>
  <si>
    <t>T139402</t>
  </si>
  <si>
    <t>t143906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</si>
</sst>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2"/>
      <color rgb="FF000000"/>
      <name val="Helvetica Neue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8"/>
      <color rgb="FFFF000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4"/>
      <name val="Times New Roman"/>
      <family val="1"/>
    </font>
    <font>
      <b/>
      <i/>
      <sz val="11"/>
      <color rgb="FF000080"/>
      <name val="Times New Roman"/>
      <family val="1"/>
    </font>
    <font>
      <b/>
      <sz val="26"/>
      <color rgb="FFFF0000"/>
      <name val="Times New Roman"/>
      <family val="1"/>
    </font>
    <font>
      <sz val="11"/>
      <color rgb="FF00FFFF"/>
      <name val="Times New Roman"/>
      <family val="1"/>
    </font>
    <font>
      <b/>
      <sz val="9"/>
      <name val="Times New Roman"/>
      <family val="1"/>
    </font>
    <font>
      <sz val="12"/>
      <name val="Helvetica Neue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Times New Roman"/>
      <family val="1"/>
    </font>
    <font>
      <b/>
      <i/>
      <sz val="10"/>
      <name val="Times New Roman"/>
      <family val="1"/>
    </font>
    <font>
      <sz val="11"/>
      <color rgb="FF000000"/>
      <name val="Times New Roman"/>
      <family val="1"/>
    </font>
    <font>
      <b/>
      <sz val="13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4"/>
      <color rgb="FFFF0000"/>
      <name val="Times New Roman"/>
      <family val="1"/>
    </font>
    <font>
      <b/>
      <i/>
      <sz val="10"/>
      <color rgb="FFFF0000"/>
      <name val="Times New Roman"/>
      <family val="1"/>
    </font>
    <font>
      <sz val="20"/>
      <color rgb="FF548DD4"/>
      <name val="Noto Sans Symbols"/>
    </font>
    <font>
      <b/>
      <sz val="18"/>
      <color rgb="FF76923C"/>
      <name val="Noto Sans Symbols"/>
    </font>
    <font>
      <b/>
      <sz val="16"/>
      <color rgb="FFFF0000"/>
      <name val="Times New Roman"/>
      <family val="1"/>
    </font>
    <font>
      <b/>
      <sz val="8"/>
      <color rgb="FFFF0000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b/>
      <sz val="12"/>
      <color rgb="FF008000"/>
      <name val="Times New Roman"/>
      <family val="1"/>
    </font>
    <font>
      <b/>
      <sz val="13"/>
      <color rgb="FFFF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FF0000"/>
      <name val="Times New Roman"/>
      <family val="1"/>
    </font>
    <font>
      <u/>
      <sz val="12"/>
      <color theme="10"/>
      <name val="Helvetica Neue"/>
      <family val="2"/>
    </font>
    <font>
      <sz val="12"/>
      <color rgb="FF000000"/>
      <name val="Helvetica Neue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6"/>
      <color rgb="FF7030A0"/>
      <name val="Times New Roman"/>
      <family val="1"/>
    </font>
    <font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2"/>
      <color rgb="FF7030A0"/>
      <name val="Helvetica Neue"/>
      <family val="2"/>
    </font>
    <font>
      <sz val="8"/>
      <color rgb="FF000000"/>
      <name val="Helvetica Neue"/>
      <family val="2"/>
    </font>
    <font>
      <u/>
      <sz val="10"/>
      <color theme="10"/>
      <name val="Arial"/>
      <family val="2"/>
    </font>
    <font>
      <sz val="7"/>
      <name val="Times New Roman"/>
      <family val="1"/>
    </font>
    <font>
      <sz val="11"/>
      <color rgb="FF000000"/>
      <name val="Helvetica Neue"/>
      <family val="2"/>
    </font>
    <font>
      <b/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7"/>
      <color rgb="FF000000"/>
      <name val="Times New Roman"/>
      <family val="1"/>
    </font>
    <font>
      <b/>
      <sz val="8"/>
      <color rgb="FF000000"/>
      <name val="Times New Roman"/>
      <family val="1"/>
    </font>
    <font>
      <b/>
      <i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i/>
      <sz val="11"/>
      <color rgb="FFFF0000"/>
      <name val="Times New Roman"/>
      <family val="1"/>
    </font>
    <font>
      <b/>
      <sz val="18"/>
      <color rgb="FF7030A0"/>
      <name val="Times New Roman"/>
      <family val="1"/>
    </font>
    <font>
      <u/>
      <sz val="12"/>
      <color theme="11"/>
      <name val="Helvetica Neue"/>
      <family val="2"/>
    </font>
    <font>
      <b/>
      <sz val="18"/>
      <color rgb="FF00B050"/>
      <name val="Times New Roman"/>
    </font>
    <font>
      <sz val="11"/>
      <color rgb="FF000000"/>
      <name val="Calibri"/>
      <family val="2"/>
      <charset val="163"/>
    </font>
    <font>
      <b/>
      <u/>
      <sz val="11"/>
      <color rgb="FFFF0000"/>
      <name val="Times New Roman"/>
      <family val="1"/>
    </font>
    <font>
      <b/>
      <sz val="14"/>
      <color rgb="FF0070C0"/>
      <name val="Times New Roman"/>
      <family val="1"/>
    </font>
    <font>
      <b/>
      <u/>
      <sz val="14"/>
      <color rgb="FF00B050"/>
      <name val="Times New Roman"/>
      <family val="1"/>
    </font>
    <font>
      <u/>
      <sz val="11"/>
      <color rgb="FF0563C1"/>
      <name val="Times New Roman"/>
      <family val="1"/>
    </font>
    <font>
      <i/>
      <sz val="11"/>
      <color rgb="FF00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4BD97"/>
        <bgColor rgb="FFC4BD97"/>
      </patternFill>
    </fill>
    <fill>
      <patternFill patternType="solid">
        <fgColor rgb="FFB8CCE4"/>
        <bgColor rgb="FFB8CCE4"/>
      </patternFill>
    </fill>
    <fill>
      <patternFill patternType="solid">
        <fgColor rgb="FFFFCC00"/>
        <bgColor rgb="FFFFCC00"/>
      </patternFill>
    </fill>
    <fill>
      <patternFill patternType="solid">
        <fgColor rgb="FF92CDDC"/>
        <bgColor rgb="FF92CDDC"/>
      </patternFill>
    </fill>
    <fill>
      <patternFill patternType="solid">
        <fgColor rgb="FF99CC00"/>
        <bgColor rgb="FF99CC0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FF8080"/>
        <bgColor rgb="FFFF8080"/>
      </patternFill>
    </fill>
    <fill>
      <patternFill patternType="solid">
        <fgColor rgb="FF00FFFF"/>
        <bgColor rgb="FF00FFFF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41" fillId="0" borderId="47"/>
    <xf numFmtId="0" fontId="40" fillId="0" borderId="47" applyNumberFormat="0" applyFill="0" applyBorder="0" applyAlignment="0" applyProtection="0"/>
    <xf numFmtId="0" fontId="41" fillId="0" borderId="47"/>
    <xf numFmtId="0" fontId="41" fillId="0" borderId="47"/>
    <xf numFmtId="0" fontId="43" fillId="0" borderId="47"/>
    <xf numFmtId="0" fontId="38" fillId="0" borderId="47"/>
    <xf numFmtId="0" fontId="49" fillId="0" borderId="47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0" fillId="0" borderId="0" applyNumberFormat="0" applyFill="0" applyBorder="0" applyAlignment="0" applyProtection="0"/>
  </cellStyleXfs>
  <cellXfs count="296">
    <xf numFmtId="0" fontId="0" fillId="0" borderId="0" xfId="0"/>
    <xf numFmtId="0" fontId="2" fillId="0" borderId="0" xfId="0" applyFont="1" applyAlignment="1">
      <alignment horizontal="left" vertical="center"/>
    </xf>
    <xf numFmtId="1" fontId="3" fillId="0" borderId="0" xfId="0" applyNumberFormat="1" applyFont="1"/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/>
    <xf numFmtId="1" fontId="1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applyFont="1"/>
    <xf numFmtId="1" fontId="1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7" fillId="0" borderId="0" xfId="0" applyFont="1"/>
    <xf numFmtId="0" fontId="16" fillId="0" borderId="18" xfId="0" applyFont="1" applyBorder="1" applyAlignment="1">
      <alignment horizontal="center" vertical="center"/>
    </xf>
    <xf numFmtId="1" fontId="17" fillId="0" borderId="0" xfId="0" applyNumberFormat="1" applyFont="1"/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" fontId="18" fillId="0" borderId="0" xfId="0" applyNumberFormat="1" applyFont="1"/>
    <xf numFmtId="0" fontId="2" fillId="0" borderId="0" xfId="0" applyFont="1"/>
    <xf numFmtId="1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1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" fontId="20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5" fillId="0" borderId="0" xfId="0" applyFont="1"/>
    <xf numFmtId="0" fontId="1" fillId="0" borderId="0" xfId="0" applyFont="1"/>
    <xf numFmtId="0" fontId="13" fillId="2" borderId="7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18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30" fillId="0" borderId="0" xfId="0" applyFont="1"/>
    <xf numFmtId="2" fontId="18" fillId="0" borderId="24" xfId="0" applyNumberFormat="1" applyFont="1" applyBorder="1" applyAlignment="1">
      <alignment horizontal="center" vertical="center"/>
    </xf>
    <xf numFmtId="1" fontId="4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35" xfId="0" applyNumberFormat="1" applyFont="1" applyBorder="1" applyAlignment="1">
      <alignment horizontal="center" vertical="center"/>
    </xf>
    <xf numFmtId="2" fontId="1" fillId="10" borderId="2" xfId="0" applyNumberFormat="1" applyFont="1" applyFill="1" applyBorder="1" applyAlignment="1">
      <alignment horizontal="center" vertical="center"/>
    </xf>
    <xf numFmtId="1" fontId="27" fillId="0" borderId="6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2" fontId="1" fillId="10" borderId="9" xfId="0" applyNumberFormat="1" applyFont="1" applyFill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2" fontId="1" fillId="10" borderId="16" xfId="0" applyNumberFormat="1" applyFont="1" applyFill="1" applyBorder="1" applyAlignment="1">
      <alignment horizontal="center" vertical="center"/>
    </xf>
    <xf numFmtId="1" fontId="27" fillId="0" borderId="17" xfId="0" applyNumberFormat="1" applyFont="1" applyBorder="1" applyAlignment="1">
      <alignment horizontal="center" vertical="center" wrapText="1"/>
    </xf>
    <xf numFmtId="2" fontId="1" fillId="10" borderId="19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14" fontId="4" fillId="0" borderId="36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4" fontId="4" fillId="0" borderId="37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14" fontId="4" fillId="0" borderId="38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1" fillId="10" borderId="24" xfId="0" applyNumberFormat="1" applyFont="1" applyFill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/>
    </xf>
    <xf numFmtId="2" fontId="1" fillId="10" borderId="40" xfId="0" applyNumberFormat="1" applyFont="1" applyFill="1" applyBorder="1" applyAlignment="1">
      <alignment horizontal="center" vertical="center"/>
    </xf>
    <xf numFmtId="1" fontId="27" fillId="0" borderId="20" xfId="0" applyNumberFormat="1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2" fontId="2" fillId="0" borderId="4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left" vertical="center"/>
    </xf>
    <xf numFmtId="1" fontId="23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1" fontId="19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1" fontId="13" fillId="2" borderId="44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33" fillId="0" borderId="0" xfId="0" applyFont="1"/>
    <xf numFmtId="1" fontId="22" fillId="8" borderId="7" xfId="0" applyNumberFormat="1" applyFont="1" applyFill="1" applyBorder="1" applyAlignment="1">
      <alignment horizontal="center"/>
    </xf>
    <xf numFmtId="1" fontId="22" fillId="5" borderId="44" xfId="0" applyNumberFormat="1" applyFont="1" applyFill="1" applyBorder="1" applyAlignment="1">
      <alignment horizontal="center"/>
    </xf>
    <xf numFmtId="1" fontId="22" fillId="7" borderId="44" xfId="0" applyNumberFormat="1" applyFont="1" applyFill="1" applyBorder="1" applyAlignment="1">
      <alignment horizontal="center"/>
    </xf>
    <xf numFmtId="2" fontId="22" fillId="3" borderId="7" xfId="0" applyNumberFormat="1" applyFont="1" applyFill="1" applyBorder="1" applyAlignment="1">
      <alignment horizontal="center"/>
    </xf>
    <xf numFmtId="1" fontId="22" fillId="11" borderId="7" xfId="0" applyNumberFormat="1" applyFont="1" applyFill="1" applyBorder="1" applyAlignment="1">
      <alignment horizontal="center"/>
    </xf>
    <xf numFmtId="2" fontId="22" fillId="6" borderId="7" xfId="0" applyNumberFormat="1" applyFont="1" applyFill="1" applyBorder="1" applyAlignment="1">
      <alignment horizontal="center"/>
    </xf>
    <xf numFmtId="1" fontId="22" fillId="12" borderId="44" xfId="0" applyNumberFormat="1" applyFont="1" applyFill="1" applyBorder="1" applyAlignment="1">
      <alignment horizontal="center"/>
    </xf>
    <xf numFmtId="2" fontId="9" fillId="13" borderId="7" xfId="0" applyNumberFormat="1" applyFont="1" applyFill="1" applyBorder="1" applyAlignment="1">
      <alignment horizontal="center"/>
    </xf>
    <xf numFmtId="1" fontId="27" fillId="0" borderId="30" xfId="0" applyNumberFormat="1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35" fillId="0" borderId="0" xfId="0" applyFont="1"/>
    <xf numFmtId="1" fontId="22" fillId="8" borderId="12" xfId="0" applyNumberFormat="1" applyFont="1" applyFill="1" applyBorder="1" applyAlignment="1">
      <alignment horizontal="center"/>
    </xf>
    <xf numFmtId="1" fontId="22" fillId="5" borderId="12" xfId="0" applyNumberFormat="1" applyFont="1" applyFill="1" applyBorder="1" applyAlignment="1">
      <alignment horizontal="center"/>
    </xf>
    <xf numFmtId="1" fontId="22" fillId="7" borderId="12" xfId="0" applyNumberFormat="1" applyFont="1" applyFill="1" applyBorder="1" applyAlignment="1">
      <alignment horizontal="center"/>
    </xf>
    <xf numFmtId="2" fontId="22" fillId="3" borderId="12" xfId="0" applyNumberFormat="1" applyFont="1" applyFill="1" applyBorder="1" applyAlignment="1">
      <alignment horizontal="center"/>
    </xf>
    <xf numFmtId="1" fontId="22" fillId="11" borderId="12" xfId="0" applyNumberFormat="1" applyFont="1" applyFill="1" applyBorder="1" applyAlignment="1">
      <alignment horizontal="center"/>
    </xf>
    <xf numFmtId="2" fontId="22" fillId="6" borderId="12" xfId="0" applyNumberFormat="1" applyFont="1" applyFill="1" applyBorder="1" applyAlignment="1">
      <alignment horizontal="center"/>
    </xf>
    <xf numFmtId="1" fontId="22" fillId="12" borderId="12" xfId="0" applyNumberFormat="1" applyFont="1" applyFill="1" applyBorder="1" applyAlignment="1">
      <alignment horizontal="center"/>
    </xf>
    <xf numFmtId="2" fontId="9" fillId="13" borderId="12" xfId="0" applyNumberFormat="1" applyFont="1" applyFill="1" applyBorder="1" applyAlignment="1">
      <alignment horizontal="center"/>
    </xf>
    <xf numFmtId="1" fontId="27" fillId="0" borderId="32" xfId="0" applyNumberFormat="1" applyFont="1" applyBorder="1" applyAlignment="1">
      <alignment horizontal="center"/>
    </xf>
    <xf numFmtId="1" fontId="36" fillId="7" borderId="12" xfId="0" applyNumberFormat="1" applyFont="1" applyFill="1" applyBorder="1" applyAlignment="1">
      <alignment horizontal="center"/>
    </xf>
    <xf numFmtId="1" fontId="27" fillId="4" borderId="32" xfId="0" applyNumberFormat="1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vertical="center"/>
    </xf>
    <xf numFmtId="0" fontId="3" fillId="9" borderId="9" xfId="0" applyFont="1" applyFill="1" applyBorder="1" applyAlignment="1">
      <alignment vertical="center"/>
    </xf>
    <xf numFmtId="49" fontId="37" fillId="0" borderId="0" xfId="0" applyNumberFormat="1" applyFont="1" applyAlignment="1">
      <alignment horizontal="center"/>
    </xf>
    <xf numFmtId="49" fontId="38" fillId="0" borderId="0" xfId="0" applyNumberFormat="1" applyFont="1"/>
    <xf numFmtId="0" fontId="38" fillId="0" borderId="0" xfId="0" applyFont="1"/>
    <xf numFmtId="1" fontId="22" fillId="8" borderId="5" xfId="0" applyNumberFormat="1" applyFont="1" applyFill="1" applyBorder="1" applyAlignment="1">
      <alignment horizontal="center"/>
    </xf>
    <xf numFmtId="1" fontId="22" fillId="5" borderId="48" xfId="0" applyNumberFormat="1" applyFont="1" applyFill="1" applyBorder="1" applyAlignment="1">
      <alignment horizontal="center"/>
    </xf>
    <xf numFmtId="1" fontId="22" fillId="7" borderId="48" xfId="0" applyNumberFormat="1" applyFont="1" applyFill="1" applyBorder="1" applyAlignment="1">
      <alignment horizontal="center"/>
    </xf>
    <xf numFmtId="2" fontId="22" fillId="3" borderId="5" xfId="0" applyNumberFormat="1" applyFont="1" applyFill="1" applyBorder="1" applyAlignment="1">
      <alignment horizontal="center"/>
    </xf>
    <xf numFmtId="1" fontId="22" fillId="11" borderId="5" xfId="0" applyNumberFormat="1" applyFont="1" applyFill="1" applyBorder="1" applyAlignment="1">
      <alignment horizontal="center"/>
    </xf>
    <xf numFmtId="2" fontId="22" fillId="6" borderId="5" xfId="0" applyNumberFormat="1" applyFont="1" applyFill="1" applyBorder="1" applyAlignment="1">
      <alignment horizontal="center"/>
    </xf>
    <xf numFmtId="2" fontId="9" fillId="13" borderId="5" xfId="0" applyNumberFormat="1" applyFont="1" applyFill="1" applyBorder="1" applyAlignment="1">
      <alignment horizontal="center"/>
    </xf>
    <xf numFmtId="1" fontId="27" fillId="4" borderId="49" xfId="0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" fontId="22" fillId="8" borderId="44" xfId="0" applyNumberFormat="1" applyFont="1" applyFill="1" applyBorder="1" applyAlignment="1">
      <alignment horizontal="center"/>
    </xf>
    <xf numFmtId="1" fontId="22" fillId="5" borderId="7" xfId="0" applyNumberFormat="1" applyFont="1" applyFill="1" applyBorder="1" applyAlignment="1">
      <alignment horizontal="center"/>
    </xf>
    <xf numFmtId="1" fontId="22" fillId="7" borderId="7" xfId="0" applyNumberFormat="1" applyFont="1" applyFill="1" applyBorder="1" applyAlignment="1">
      <alignment horizontal="center"/>
    </xf>
    <xf numFmtId="2" fontId="22" fillId="6" borderId="44" xfId="0" applyNumberFormat="1" applyFont="1" applyFill="1" applyBorder="1" applyAlignment="1">
      <alignment horizontal="center"/>
    </xf>
    <xf numFmtId="2" fontId="9" fillId="13" borderId="44" xfId="0" applyNumberFormat="1" applyFont="1" applyFill="1" applyBorder="1" applyAlignment="1">
      <alignment horizontal="center"/>
    </xf>
    <xf numFmtId="1" fontId="27" fillId="0" borderId="10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left" vertical="center"/>
    </xf>
    <xf numFmtId="1" fontId="3" fillId="0" borderId="9" xfId="0" applyNumberFormat="1" applyFont="1" applyBorder="1" applyAlignment="1">
      <alignment horizontal="left" vertical="center"/>
    </xf>
    <xf numFmtId="14" fontId="2" fillId="0" borderId="9" xfId="0" applyNumberFormat="1" applyFont="1" applyBorder="1" applyAlignment="1">
      <alignment horizontal="center" vertical="center" wrapText="1"/>
    </xf>
    <xf numFmtId="1" fontId="4" fillId="9" borderId="16" xfId="0" applyNumberFormat="1" applyFont="1" applyFill="1" applyBorder="1" applyAlignment="1">
      <alignment horizontal="center" vertical="center"/>
    </xf>
    <xf numFmtId="1" fontId="4" fillId="9" borderId="16" xfId="0" applyNumberFormat="1" applyFont="1" applyFill="1" applyBorder="1" applyAlignment="1">
      <alignment horizontal="left" vertical="center"/>
    </xf>
    <xf numFmtId="1" fontId="3" fillId="9" borderId="16" xfId="0" applyNumberFormat="1" applyFont="1" applyFill="1" applyBorder="1" applyAlignment="1">
      <alignment horizontal="left" vertical="center"/>
    </xf>
    <xf numFmtId="1" fontId="4" fillId="0" borderId="24" xfId="0" applyNumberFormat="1" applyFont="1" applyBorder="1" applyAlignment="1">
      <alignment horizontal="left" vertical="center"/>
    </xf>
    <xf numFmtId="1" fontId="3" fillId="0" borderId="24" xfId="0" applyNumberFormat="1" applyFont="1" applyBorder="1" applyAlignment="1">
      <alignment horizontal="left" vertical="center"/>
    </xf>
    <xf numFmtId="14" fontId="2" fillId="0" borderId="24" xfId="0" applyNumberFormat="1" applyFont="1" applyBorder="1" applyAlignment="1">
      <alignment horizontal="center" vertical="center" wrapText="1"/>
    </xf>
    <xf numFmtId="1" fontId="22" fillId="8" borderId="15" xfId="0" applyNumberFormat="1" applyFont="1" applyFill="1" applyBorder="1" applyAlignment="1">
      <alignment horizontal="center"/>
    </xf>
    <xf numFmtId="1" fontId="22" fillId="5" borderId="15" xfId="0" applyNumberFormat="1" applyFont="1" applyFill="1" applyBorder="1" applyAlignment="1">
      <alignment horizontal="center"/>
    </xf>
    <xf numFmtId="1" fontId="22" fillId="7" borderId="15" xfId="0" applyNumberFormat="1" applyFont="1" applyFill="1" applyBorder="1" applyAlignment="1">
      <alignment horizontal="center"/>
    </xf>
    <xf numFmtId="1" fontId="22" fillId="3" borderId="15" xfId="0" applyNumberFormat="1" applyFont="1" applyFill="1" applyBorder="1" applyAlignment="1">
      <alignment horizontal="center"/>
    </xf>
    <xf numFmtId="1" fontId="22" fillId="11" borderId="15" xfId="0" applyNumberFormat="1" applyFont="1" applyFill="1" applyBorder="1" applyAlignment="1">
      <alignment horizontal="center"/>
    </xf>
    <xf numFmtId="1" fontId="22" fillId="6" borderId="15" xfId="0" applyNumberFormat="1" applyFont="1" applyFill="1" applyBorder="1" applyAlignment="1">
      <alignment horizontal="center"/>
    </xf>
    <xf numFmtId="1" fontId="22" fillId="12" borderId="15" xfId="0" applyNumberFormat="1" applyFont="1" applyFill="1" applyBorder="1" applyAlignment="1">
      <alignment horizontal="center"/>
    </xf>
    <xf numFmtId="2" fontId="9" fillId="13" borderId="15" xfId="0" applyNumberFormat="1" applyFont="1" applyFill="1" applyBorder="1" applyAlignment="1">
      <alignment horizontal="center"/>
    </xf>
    <xf numFmtId="1" fontId="27" fillId="0" borderId="27" xfId="0" applyNumberFormat="1" applyFont="1" applyBorder="1" applyAlignment="1">
      <alignment horizontal="center"/>
    </xf>
    <xf numFmtId="1" fontId="39" fillId="0" borderId="0" xfId="0" applyNumberFormat="1" applyFont="1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0" fontId="42" fillId="0" borderId="0" xfId="0" applyFont="1"/>
    <xf numFmtId="0" fontId="45" fillId="0" borderId="0" xfId="0" applyFont="1"/>
    <xf numFmtId="0" fontId="44" fillId="0" borderId="47" xfId="0" applyFont="1" applyBorder="1" applyAlignment="1">
      <alignment vertical="center"/>
    </xf>
    <xf numFmtId="1" fontId="21" fillId="0" borderId="12" xfId="0" applyNumberFormat="1" applyFont="1" applyBorder="1" applyAlignment="1">
      <alignment horizontal="center" vertical="center"/>
    </xf>
    <xf numFmtId="0" fontId="0" fillId="15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1" fontId="1" fillId="0" borderId="0" xfId="0" applyNumberFormat="1" applyFont="1" applyAlignment="1">
      <alignment wrapText="1"/>
    </xf>
    <xf numFmtId="0" fontId="42" fillId="0" borderId="0" xfId="0" applyFont="1" applyAlignment="1">
      <alignment wrapText="1"/>
    </xf>
    <xf numFmtId="0" fontId="0" fillId="0" borderId="0" xfId="0" applyAlignment="1">
      <alignment wrapText="1"/>
    </xf>
    <xf numFmtId="0" fontId="47" fillId="0" borderId="47" xfId="0" applyFont="1" applyBorder="1" applyAlignment="1">
      <alignment vertical="center"/>
    </xf>
    <xf numFmtId="0" fontId="48" fillId="0" borderId="0" xfId="0" applyFont="1"/>
    <xf numFmtId="0" fontId="0" fillId="0" borderId="32" xfId="0" applyBorder="1" applyAlignment="1">
      <alignment vertical="center"/>
    </xf>
    <xf numFmtId="0" fontId="0" fillId="15" borderId="27" xfId="0" applyFill="1" applyBorder="1" applyAlignment="1">
      <alignment vertical="center"/>
    </xf>
    <xf numFmtId="0" fontId="0" fillId="0" borderId="47" xfId="0" applyBorder="1"/>
    <xf numFmtId="0" fontId="50" fillId="16" borderId="12" xfId="0" quotePrefix="1" applyFont="1" applyFill="1" applyBorder="1" applyAlignment="1">
      <alignment horizontal="center" vertical="center"/>
    </xf>
    <xf numFmtId="0" fontId="50" fillId="18" borderId="12" xfId="0" quotePrefix="1" applyFont="1" applyFill="1" applyBorder="1" applyAlignment="1">
      <alignment horizontal="center" vertical="center"/>
    </xf>
    <xf numFmtId="0" fontId="51" fillId="0" borderId="0" xfId="0" applyFont="1"/>
    <xf numFmtId="2" fontId="46" fillId="0" borderId="12" xfId="0" applyNumberFormat="1" applyFont="1" applyBorder="1" applyAlignment="1">
      <alignment vertical="center" wrapText="1"/>
    </xf>
    <xf numFmtId="2" fontId="46" fillId="0" borderId="15" xfId="0" applyNumberFormat="1" applyFont="1" applyBorder="1" applyAlignment="1">
      <alignment vertical="center" wrapText="1"/>
    </xf>
    <xf numFmtId="2" fontId="54" fillId="0" borderId="12" xfId="0" applyNumberFormat="1" applyFont="1" applyBorder="1" applyAlignment="1">
      <alignment horizontal="center" vertical="center" wrapText="1"/>
    </xf>
    <xf numFmtId="2" fontId="54" fillId="0" borderId="15" xfId="0" applyNumberFormat="1" applyFont="1" applyBorder="1" applyAlignment="1">
      <alignment horizontal="center" vertical="center" wrapText="1"/>
    </xf>
    <xf numFmtId="0" fontId="57" fillId="0" borderId="31" xfId="0" applyFont="1" applyBorder="1" applyAlignment="1">
      <alignment horizontal="center" vertical="center"/>
    </xf>
    <xf numFmtId="0" fontId="58" fillId="0" borderId="47" xfId="0" applyFont="1" applyBorder="1" applyAlignment="1">
      <alignment vertical="center"/>
    </xf>
    <xf numFmtId="0" fontId="58" fillId="0" borderId="47" xfId="0" applyFont="1" applyBorder="1" applyAlignment="1">
      <alignment horizontal="left" vertical="center"/>
    </xf>
    <xf numFmtId="1" fontId="57" fillId="0" borderId="0" xfId="0" applyNumberFormat="1" applyFont="1" applyAlignment="1">
      <alignment horizontal="center"/>
    </xf>
    <xf numFmtId="0" fontId="59" fillId="0" borderId="47" xfId="0" applyFont="1" applyBorder="1" applyAlignment="1">
      <alignment vertical="center"/>
    </xf>
    <xf numFmtId="2" fontId="2" fillId="0" borderId="19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2" fontId="2" fillId="0" borderId="16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2" fontId="2" fillId="0" borderId="40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1" fontId="13" fillId="2" borderId="35" xfId="0" applyNumberFormat="1" applyFont="1" applyFill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left" vertical="center"/>
    </xf>
    <xf numFmtId="1" fontId="3" fillId="0" borderId="16" xfId="0" applyNumberFormat="1" applyFont="1" applyBorder="1" applyAlignment="1">
      <alignment horizontal="left" vertical="center"/>
    </xf>
    <xf numFmtId="14" fontId="2" fillId="0" borderId="16" xfId="0" applyNumberFormat="1" applyFont="1" applyBorder="1" applyAlignment="1">
      <alignment horizontal="center" vertical="center" wrapText="1"/>
    </xf>
    <xf numFmtId="1" fontId="21" fillId="14" borderId="12" xfId="0" applyNumberFormat="1" applyFont="1" applyFill="1" applyBorder="1" applyAlignment="1">
      <alignment horizontal="center" vertical="center"/>
    </xf>
    <xf numFmtId="1" fontId="0" fillId="0" borderId="12" xfId="0" applyNumberFormat="1" applyBorder="1" applyAlignment="1">
      <alignment vertical="center"/>
    </xf>
    <xf numFmtId="0" fontId="50" fillId="19" borderId="12" xfId="0" quotePrefix="1" applyFont="1" applyFill="1" applyBorder="1" applyAlignment="1">
      <alignment horizontal="center" vertical="center"/>
    </xf>
    <xf numFmtId="0" fontId="50" fillId="20" borderId="12" xfId="0" quotePrefix="1" applyFont="1" applyFill="1" applyBorder="1" applyAlignment="1">
      <alignment horizontal="center" vertical="center"/>
    </xf>
    <xf numFmtId="0" fontId="0" fillId="0" borderId="32" xfId="0" applyBorder="1"/>
    <xf numFmtId="0" fontId="57" fillId="0" borderId="50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0" fontId="50" fillId="21" borderId="12" xfId="0" quotePrefix="1" applyFont="1" applyFill="1" applyBorder="1" applyAlignment="1">
      <alignment horizontal="center" vertical="center"/>
    </xf>
    <xf numFmtId="0" fontId="50" fillId="22" borderId="12" xfId="0" quotePrefix="1" applyFont="1" applyFill="1" applyBorder="1" applyAlignment="1">
      <alignment horizontal="center" vertical="center"/>
    </xf>
    <xf numFmtId="0" fontId="50" fillId="23" borderId="12" xfId="0" quotePrefix="1" applyFont="1" applyFill="1" applyBorder="1" applyAlignment="1">
      <alignment horizontal="center" vertical="center"/>
    </xf>
    <xf numFmtId="0" fontId="0" fillId="24" borderId="12" xfId="0" applyFill="1" applyBorder="1" applyAlignment="1">
      <alignment vertical="center"/>
    </xf>
    <xf numFmtId="0" fontId="0" fillId="24" borderId="15" xfId="0" applyFill="1" applyBorder="1" applyAlignment="1">
      <alignment vertical="center"/>
    </xf>
    <xf numFmtId="0" fontId="0" fillId="0" borderId="52" xfId="0" applyBorder="1" applyAlignment="1">
      <alignment vertical="center"/>
    </xf>
    <xf numFmtId="0" fontId="0" fillId="15" borderId="52" xfId="0" applyFill="1" applyBorder="1" applyAlignment="1">
      <alignment vertical="center"/>
    </xf>
    <xf numFmtId="0" fontId="0" fillId="0" borderId="53" xfId="0" applyBorder="1" applyAlignment="1">
      <alignment vertical="center"/>
    </xf>
    <xf numFmtId="0" fontId="50" fillId="19" borderId="32" xfId="0" quotePrefix="1" applyFont="1" applyFill="1" applyBorder="1" applyAlignment="1">
      <alignment horizontal="center" vertical="center"/>
    </xf>
    <xf numFmtId="0" fontId="50" fillId="17" borderId="31" xfId="0" quotePrefix="1" applyFont="1" applyFill="1" applyBorder="1" applyAlignment="1">
      <alignment horizontal="center" vertical="center"/>
    </xf>
    <xf numFmtId="0" fontId="50" fillId="17" borderId="32" xfId="0" quotePrefix="1" applyFont="1" applyFill="1" applyBorder="1" applyAlignment="1">
      <alignment horizontal="center" vertical="center"/>
    </xf>
    <xf numFmtId="0" fontId="1" fillId="0" borderId="47" xfId="0" applyFont="1" applyBorder="1"/>
    <xf numFmtId="0" fontId="62" fillId="0" borderId="47" xfId="0" applyFont="1" applyBorder="1"/>
    <xf numFmtId="0" fontId="63" fillId="0" borderId="47" xfId="0" applyFont="1" applyBorder="1"/>
    <xf numFmtId="0" fontId="53" fillId="25" borderId="54" xfId="0" applyFont="1" applyFill="1" applyBorder="1" applyAlignment="1">
      <alignment horizontal="center"/>
    </xf>
    <xf numFmtId="0" fontId="53" fillId="25" borderId="55" xfId="0" applyFont="1" applyFill="1" applyBorder="1" applyAlignment="1">
      <alignment horizontal="center"/>
    </xf>
    <xf numFmtId="0" fontId="53" fillId="25" borderId="56" xfId="0" applyFont="1" applyFill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left" vertical="center" wrapText="1"/>
    </xf>
    <xf numFmtId="0" fontId="21" fillId="0" borderId="58" xfId="0" applyFont="1" applyBorder="1" applyAlignment="1">
      <alignment horizontal="center" vertical="center" wrapText="1"/>
    </xf>
    <xf numFmtId="0" fontId="40" fillId="0" borderId="59" xfId="10" applyBorder="1"/>
    <xf numFmtId="0" fontId="21" fillId="0" borderId="58" xfId="0" applyFont="1" applyBorder="1" applyAlignment="1">
      <alignment vertical="center"/>
    </xf>
    <xf numFmtId="0" fontId="21" fillId="0" borderId="60" xfId="0" applyFont="1" applyBorder="1" applyAlignment="1">
      <alignment horizontal="center"/>
    </xf>
    <xf numFmtId="0" fontId="21" fillId="0" borderId="61" xfId="0" applyFont="1" applyBorder="1" applyAlignment="1">
      <alignment vertical="center"/>
    </xf>
    <xf numFmtId="0" fontId="21" fillId="0" borderId="62" xfId="0" applyFont="1" applyBorder="1" applyAlignment="1">
      <alignment horizontal="center" vertical="center"/>
    </xf>
    <xf numFmtId="0" fontId="66" fillId="0" borderId="63" xfId="0" applyFont="1" applyBorder="1"/>
    <xf numFmtId="0" fontId="53" fillId="0" borderId="47" xfId="0" applyFont="1" applyBorder="1" applyAlignment="1">
      <alignment horizontal="center"/>
    </xf>
    <xf numFmtId="0" fontId="67" fillId="0" borderId="47" xfId="0" applyFont="1" applyBorder="1"/>
    <xf numFmtId="0" fontId="21" fillId="0" borderId="47" xfId="0" applyFont="1" applyBorder="1"/>
    <xf numFmtId="0" fontId="0" fillId="26" borderId="12" xfId="0" applyFill="1" applyBorder="1" applyAlignment="1">
      <alignment vertical="center"/>
    </xf>
    <xf numFmtId="0" fontId="0" fillId="26" borderId="15" xfId="0" applyFill="1" applyBorder="1" applyAlignment="1">
      <alignment vertical="center"/>
    </xf>
    <xf numFmtId="17" fontId="18" fillId="17" borderId="51" xfId="0" quotePrefix="1" applyNumberFormat="1" applyFont="1" applyFill="1" applyBorder="1" applyAlignment="1">
      <alignment horizontal="center" vertical="center"/>
    </xf>
    <xf numFmtId="17" fontId="18" fillId="17" borderId="64" xfId="0" quotePrefix="1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0" fontId="55" fillId="17" borderId="29" xfId="0" applyFont="1" applyFill="1" applyBorder="1" applyAlignment="1">
      <alignment horizontal="center" vertical="center"/>
    </xf>
    <xf numFmtId="0" fontId="55" fillId="17" borderId="31" xfId="0" applyFont="1" applyFill="1" applyBorder="1" applyAlignment="1">
      <alignment horizontal="center" vertical="center"/>
    </xf>
    <xf numFmtId="0" fontId="55" fillId="17" borderId="7" xfId="0" applyFont="1" applyFill="1" applyBorder="1" applyAlignment="1">
      <alignment horizontal="center" vertical="center"/>
    </xf>
    <xf numFmtId="0" fontId="55" fillId="17" borderId="12" xfId="0" applyFont="1" applyFill="1" applyBorder="1" applyAlignment="1">
      <alignment horizontal="center" vertical="center"/>
    </xf>
    <xf numFmtId="0" fontId="55" fillId="17" borderId="7" xfId="0" applyFont="1" applyFill="1" applyBorder="1" applyAlignment="1">
      <alignment horizontal="center" vertical="center" wrapText="1"/>
    </xf>
    <xf numFmtId="0" fontId="55" fillId="17" borderId="12" xfId="0" applyFont="1" applyFill="1" applyBorder="1" applyAlignment="1">
      <alignment horizontal="center" vertical="center" wrapText="1"/>
    </xf>
    <xf numFmtId="0" fontId="58" fillId="0" borderId="4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 wrapText="1"/>
    </xf>
    <xf numFmtId="0" fontId="58" fillId="0" borderId="0" xfId="0" quotePrefix="1" applyFont="1" applyAlignment="1">
      <alignment horizontal="left" vertical="center" wrapText="1"/>
    </xf>
    <xf numFmtId="0" fontId="59" fillId="0" borderId="47" xfId="0" applyFont="1" applyBorder="1" applyAlignment="1">
      <alignment horizontal="center" vertical="center"/>
    </xf>
    <xf numFmtId="17" fontId="18" fillId="21" borderId="33" xfId="0" quotePrefix="1" applyNumberFormat="1" applyFont="1" applyFill="1" applyBorder="1" applyAlignment="1">
      <alignment horizontal="center" vertical="center"/>
    </xf>
    <xf numFmtId="17" fontId="18" fillId="21" borderId="51" xfId="0" quotePrefix="1" applyNumberFormat="1" applyFont="1" applyFill="1" applyBorder="1" applyAlignment="1">
      <alignment horizontal="center" vertical="center"/>
    </xf>
    <xf numFmtId="17" fontId="18" fillId="14" borderId="51" xfId="0" quotePrefix="1" applyNumberFormat="1" applyFont="1" applyFill="1" applyBorder="1" applyAlignment="1">
      <alignment horizontal="center" vertical="center"/>
    </xf>
    <xf numFmtId="17" fontId="18" fillId="20" borderId="51" xfId="0" quotePrefix="1" applyNumberFormat="1" applyFont="1" applyFill="1" applyBorder="1" applyAlignment="1">
      <alignment horizontal="center" vertical="center"/>
    </xf>
    <xf numFmtId="17" fontId="18" fillId="18" borderId="51" xfId="0" quotePrefix="1" applyNumberFormat="1" applyFont="1" applyFill="1" applyBorder="1" applyAlignment="1">
      <alignment horizontal="center" vertical="center"/>
    </xf>
    <xf numFmtId="17" fontId="18" fillId="22" borderId="51" xfId="0" quotePrefix="1" applyNumberFormat="1" applyFont="1" applyFill="1" applyBorder="1" applyAlignment="1">
      <alignment horizontal="center" vertical="center"/>
    </xf>
    <xf numFmtId="0" fontId="56" fillId="0" borderId="12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2" fillId="0" borderId="47" xfId="0" applyFont="1" applyBorder="1" applyAlignment="1">
      <alignment horizontal="center"/>
    </xf>
    <xf numFmtId="0" fontId="6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13" fillId="2" borderId="45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1" fontId="13" fillId="2" borderId="44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top" wrapText="1"/>
    </xf>
    <xf numFmtId="0" fontId="13" fillId="2" borderId="33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0" fillId="0" borderId="0" xfId="0" applyAlignment="1"/>
    <xf numFmtId="0" fontId="14" fillId="0" borderId="46" xfId="0" applyFont="1" applyBorder="1" applyAlignment="1"/>
    <xf numFmtId="0" fontId="14" fillId="0" borderId="34" xfId="0" applyFont="1" applyBorder="1" applyAlignment="1"/>
    <xf numFmtId="0" fontId="14" fillId="0" borderId="14" xfId="0" applyFont="1" applyBorder="1" applyAlignment="1"/>
    <xf numFmtId="0" fontId="14" fillId="0" borderId="3" xfId="0" applyFont="1" applyBorder="1" applyAlignment="1"/>
    <xf numFmtId="0" fontId="14" fillId="0" borderId="4" xfId="0" applyFont="1" applyBorder="1" applyAlignment="1"/>
    <xf numFmtId="0" fontId="14" fillId="0" borderId="26" xfId="0" applyFont="1" applyBorder="1" applyAlignment="1"/>
    <xf numFmtId="0" fontId="14" fillId="0" borderId="13" xfId="0" applyFont="1" applyBorder="1" applyAlignment="1"/>
  </cellXfs>
  <cellStyles count="11">
    <cellStyle name="Followed Hyperlink" xfId="8" builtinId="9" hidden="1"/>
    <cellStyle name="Followed Hyperlink" xfId="9" builtinId="9" hidden="1"/>
    <cellStyle name="Hyperlink" xfId="10" builtinId="8"/>
    <cellStyle name="Hyperlink 2" xfId="2" xr:uid="{00000000-0005-0000-0000-000003000000}"/>
    <cellStyle name="Hyperlink 3" xfId="7" xr:uid="{00000000-0005-0000-0000-000004000000}"/>
    <cellStyle name="Normal" xfId="0" builtinId="0"/>
    <cellStyle name="Normal 2" xfId="1" xr:uid="{00000000-0005-0000-0000-000006000000}"/>
    <cellStyle name="Normal 3" xfId="3" xr:uid="{00000000-0005-0000-0000-000007000000}"/>
    <cellStyle name="Normal 4" xfId="4" xr:uid="{00000000-0005-0000-0000-000008000000}"/>
    <cellStyle name="Normal 5" xfId="5" xr:uid="{00000000-0005-0000-0000-000009000000}"/>
    <cellStyle name="Normal 6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286918</xdr:colOff>
      <xdr:row>6</xdr:row>
      <xdr:rowOff>183256</xdr:rowOff>
    </xdr:from>
    <xdr:to>
      <xdr:col>23</xdr:col>
      <xdr:colOff>96186</xdr:colOff>
      <xdr:row>9</xdr:row>
      <xdr:rowOff>37581</xdr:rowOff>
    </xdr:to>
    <xdr:sp macro="" textlink="">
      <xdr:nvSpPr>
        <xdr:cNvPr id="2" name="Rectangular Callou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688218" y="1707256"/>
          <a:ext cx="1028468" cy="425825"/>
        </a:xfrm>
        <a:prstGeom prst="wedgeRectCallout">
          <a:avLst>
            <a:gd name="adj1" fmla="val -46729"/>
            <a:gd name="adj2" fmla="val 211743"/>
          </a:avLst>
        </a:prstGeom>
        <a:solidFill>
          <a:srgbClr val="00B05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Báo cáo giữa kỳ</a:t>
          </a:r>
          <a:endParaRPr lang="en-US" sz="10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334591</xdr:colOff>
      <xdr:row>7</xdr:row>
      <xdr:rowOff>48803</xdr:rowOff>
    </xdr:from>
    <xdr:to>
      <xdr:col>9</xdr:col>
      <xdr:colOff>203518</xdr:colOff>
      <xdr:row>9</xdr:row>
      <xdr:rowOff>100091</xdr:rowOff>
    </xdr:to>
    <xdr:sp macro="" textlink="">
      <xdr:nvSpPr>
        <xdr:cNvPr id="3" name="Rectangular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24415" y="1774509"/>
          <a:ext cx="1079162" cy="439758"/>
        </a:xfrm>
        <a:prstGeom prst="wedgeRectCallout">
          <a:avLst>
            <a:gd name="adj1" fmla="val -41032"/>
            <a:gd name="adj2" fmla="val 16638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Thời gian chọn đề tài</a:t>
          </a:r>
        </a:p>
      </xdr:txBody>
    </xdr:sp>
    <xdr:clientData/>
  </xdr:twoCellAnchor>
  <xdr:twoCellAnchor>
    <xdr:from>
      <xdr:col>6</xdr:col>
      <xdr:colOff>18318</xdr:colOff>
      <xdr:row>11</xdr:row>
      <xdr:rowOff>285753</xdr:rowOff>
    </xdr:from>
    <xdr:to>
      <xdr:col>7</xdr:col>
      <xdr:colOff>372717</xdr:colOff>
      <xdr:row>12</xdr:row>
      <xdr:rowOff>33130</xdr:rowOff>
    </xdr:to>
    <xdr:sp macro="" textlink="">
      <xdr:nvSpPr>
        <xdr:cNvPr id="6" name="Left Brac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6200000" flipH="1">
          <a:off x="5096753" y="2404905"/>
          <a:ext cx="144942" cy="743682"/>
        </a:xfrm>
        <a:prstGeom prst="leftBrace">
          <a:avLst>
            <a:gd name="adj1" fmla="val 8333"/>
            <a:gd name="adj2" fmla="val 56417"/>
          </a:avLst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279942</xdr:colOff>
      <xdr:row>7</xdr:row>
      <xdr:rowOff>34407</xdr:rowOff>
    </xdr:from>
    <xdr:to>
      <xdr:col>12</xdr:col>
      <xdr:colOff>98108</xdr:colOff>
      <xdr:row>9</xdr:row>
      <xdr:rowOff>74492</xdr:rowOff>
    </xdr:to>
    <xdr:sp macro="" textlink="">
      <xdr:nvSpPr>
        <xdr:cNvPr id="7" name="Rectangular Callou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5785392" y="1767957"/>
          <a:ext cx="989741" cy="421085"/>
        </a:xfrm>
        <a:prstGeom prst="wedgeRectCallout">
          <a:avLst>
            <a:gd name="adj1" fmla="val -90388"/>
            <a:gd name="adj2" fmla="val 193321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Bắt đầu thực hiện</a:t>
          </a:r>
        </a:p>
      </xdr:txBody>
    </xdr:sp>
    <xdr:clientData/>
  </xdr:twoCellAnchor>
  <xdr:twoCellAnchor>
    <xdr:from>
      <xdr:col>23</xdr:col>
      <xdr:colOff>160057</xdr:colOff>
      <xdr:row>6</xdr:row>
      <xdr:rowOff>171769</xdr:rowOff>
    </xdr:from>
    <xdr:to>
      <xdr:col>25</xdr:col>
      <xdr:colOff>357187</xdr:colOff>
      <xdr:row>9</xdr:row>
      <xdr:rowOff>26094</xdr:rowOff>
    </xdr:to>
    <xdr:sp macro="" textlink="">
      <xdr:nvSpPr>
        <xdr:cNvPr id="9" name="Rectangular Callout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740870" y="1703707"/>
          <a:ext cx="1006755" cy="425825"/>
        </a:xfrm>
        <a:prstGeom prst="wedgeRectCallout">
          <a:avLst>
            <a:gd name="adj1" fmla="val 30358"/>
            <a:gd name="adj2" fmla="val 208853"/>
          </a:avLst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Nộp Báo cáo</a:t>
          </a:r>
        </a:p>
      </xdr:txBody>
    </xdr:sp>
    <xdr:clientData/>
  </xdr:twoCellAnchor>
  <xdr:twoCellAnchor>
    <xdr:from>
      <xdr:col>15</xdr:col>
      <xdr:colOff>29228</xdr:colOff>
      <xdr:row>7</xdr:row>
      <xdr:rowOff>41461</xdr:rowOff>
    </xdr:from>
    <xdr:to>
      <xdr:col>17</xdr:col>
      <xdr:colOff>250806</xdr:colOff>
      <xdr:row>9</xdr:row>
      <xdr:rowOff>61937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3CDDF60F-E871-4A10-9A15-915A58596294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8371541" y="1763899"/>
          <a:ext cx="1031203" cy="401476"/>
        </a:xfrm>
        <a:prstGeom prst="wedgeRectCallout">
          <a:avLst>
            <a:gd name="adj1" fmla="val -117266"/>
            <a:gd name="adj2" fmla="val 209762"/>
          </a:avLst>
        </a:prstGeom>
        <a:solidFill>
          <a:schemeClr val="accent3">
            <a:lumMod val="40000"/>
            <a:lumOff val="60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Nộp đề cương</a:t>
          </a:r>
        </a:p>
      </xdr:txBody>
    </xdr:sp>
    <xdr:clientData/>
  </xdr:twoCellAnchor>
  <xdr:twoCellAnchor>
    <xdr:from>
      <xdr:col>12</xdr:col>
      <xdr:colOff>145023</xdr:colOff>
      <xdr:row>7</xdr:row>
      <xdr:rowOff>43142</xdr:rowOff>
    </xdr:from>
    <xdr:to>
      <xdr:col>14</xdr:col>
      <xdr:colOff>366601</xdr:colOff>
      <xdr:row>9</xdr:row>
      <xdr:rowOff>63618</xdr:rowOff>
    </xdr:to>
    <xdr:sp macro="" textlink="">
      <xdr:nvSpPr>
        <xdr:cNvPr id="8" name="Rectangular Callout 7">
          <a:extLst>
            <a:ext uri="{FF2B5EF4-FFF2-40B4-BE49-F238E27FC236}">
              <a16:creationId xmlns:a16="http://schemas.microsoft.com/office/drawing/2014/main" id="{3CDDF60F-E871-4A10-9A15-915A58596294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7272898" y="1765580"/>
          <a:ext cx="1031203" cy="401476"/>
        </a:xfrm>
        <a:prstGeom prst="wedgeRectCallout">
          <a:avLst>
            <a:gd name="adj1" fmla="val -75313"/>
            <a:gd name="adj2" fmla="val 171802"/>
          </a:avLst>
        </a:prstGeom>
        <a:solidFill>
          <a:schemeClr val="accent4">
            <a:lumMod val="7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Nghỉ tết</a:t>
          </a:r>
        </a:p>
      </xdr:txBody>
    </xdr:sp>
    <xdr:clientData/>
  </xdr:twoCellAnchor>
  <xdr:twoCellAnchor>
    <xdr:from>
      <xdr:col>10</xdr:col>
      <xdr:colOff>6309</xdr:colOff>
      <xdr:row>11</xdr:row>
      <xdr:rowOff>245238</xdr:rowOff>
    </xdr:from>
    <xdr:to>
      <xdr:col>13</xdr:col>
      <xdr:colOff>7938</xdr:colOff>
      <xdr:row>11</xdr:row>
      <xdr:rowOff>388938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6200000" flipH="1">
          <a:off x="6860743" y="2114117"/>
          <a:ext cx="143700" cy="1216067"/>
        </a:xfrm>
        <a:prstGeom prst="leftBrace">
          <a:avLst>
            <a:gd name="adj1" fmla="val 8333"/>
            <a:gd name="adj2" fmla="val 56417"/>
          </a:avLst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161645</xdr:colOff>
      <xdr:row>6</xdr:row>
      <xdr:rowOff>173356</xdr:rowOff>
    </xdr:from>
    <xdr:to>
      <xdr:col>28</xdr:col>
      <xdr:colOff>358775</xdr:colOff>
      <xdr:row>9</xdr:row>
      <xdr:rowOff>27681</xdr:rowOff>
    </xdr:to>
    <xdr:sp macro="" textlink="">
      <xdr:nvSpPr>
        <xdr:cNvPr id="11" name="Rectangular Callout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956895" y="1705294"/>
          <a:ext cx="1006755" cy="425825"/>
        </a:xfrm>
        <a:prstGeom prst="wedgeRectCallout">
          <a:avLst>
            <a:gd name="adj1" fmla="val 5917"/>
            <a:gd name="adj2" fmla="val 180893"/>
          </a:avLst>
        </a:prstGeom>
        <a:solidFill>
          <a:schemeClr val="accent3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Bảo vệ </a:t>
          </a:r>
          <a:r>
            <a: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ĐATN</a:t>
          </a:r>
          <a:endParaRPr 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396836</xdr:colOff>
      <xdr:row>11</xdr:row>
      <xdr:rowOff>285753</xdr:rowOff>
    </xdr:from>
    <xdr:to>
      <xdr:col>28</xdr:col>
      <xdr:colOff>398466</xdr:colOff>
      <xdr:row>11</xdr:row>
      <xdr:rowOff>366713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6200000" flipH="1">
          <a:off x="13354828" y="2123262"/>
          <a:ext cx="80960" cy="1216067"/>
        </a:xfrm>
        <a:prstGeom prst="leftBrace">
          <a:avLst>
            <a:gd name="adj1" fmla="val 8333"/>
            <a:gd name="adj2" fmla="val 56417"/>
          </a:avLst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15</xdr:row>
      <xdr:rowOff>57150</xdr:rowOff>
    </xdr:from>
    <xdr:ext cx="114300" cy="1143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93613" y="3213263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uy.nt@vlu.edu.vn" TargetMode="External"/><Relationship Id="rId2" Type="http://schemas.openxmlformats.org/officeDocument/2006/relationships/hyperlink" Target="mailto:mi.ndq@vlu.edu.vn" TargetMode="External"/><Relationship Id="rId1" Type="http://schemas.openxmlformats.org/officeDocument/2006/relationships/hyperlink" Target="mailto:chau.lth@vlu.edu.vn" TargetMode="External"/><Relationship Id="rId6" Type="http://schemas.openxmlformats.org/officeDocument/2006/relationships/hyperlink" Target="mailto:khanh.dt@vlu.edu.vn" TargetMode="External"/><Relationship Id="rId5" Type="http://schemas.openxmlformats.org/officeDocument/2006/relationships/hyperlink" Target="mailto:hai.nguyentri@vlu.edu.vn" TargetMode="External"/><Relationship Id="rId4" Type="http://schemas.openxmlformats.org/officeDocument/2006/relationships/hyperlink" Target="mailto:thanh.vx@vlu.edu.v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"/>
  <sheetViews>
    <sheetView tabSelected="1" topLeftCell="A13" zoomScale="130" zoomScaleNormal="130" workbookViewId="0">
      <selection activeCell="H32" sqref="H32"/>
    </sheetView>
  </sheetViews>
  <sheetFormatPr defaultColWidth="8.6640625" defaultRowHeight="15"/>
  <cols>
    <col min="1" max="1" width="2.6640625" customWidth="1"/>
    <col min="2" max="2" width="5.6640625" customWidth="1"/>
    <col min="3" max="3" width="26.33203125" customWidth="1"/>
    <col min="4" max="4" width="7.44140625" style="176" customWidth="1"/>
    <col min="5" max="5" width="5.5546875" customWidth="1"/>
    <col min="6" max="6" width="5.33203125" customWidth="1"/>
    <col min="7" max="29" width="4.5546875" customWidth="1"/>
  </cols>
  <sheetData>
    <row r="1" spans="1:29">
      <c r="A1" s="251" t="s">
        <v>0</v>
      </c>
      <c r="B1" s="251"/>
      <c r="C1" s="288"/>
      <c r="D1" s="288"/>
      <c r="E1" s="163"/>
      <c r="F1" s="4"/>
      <c r="G1" s="7"/>
      <c r="H1" s="7"/>
      <c r="I1" s="4"/>
      <c r="J1" s="2"/>
      <c r="K1" s="165"/>
    </row>
    <row r="2" spans="1:29">
      <c r="A2" s="7" t="s">
        <v>1</v>
      </c>
      <c r="B2" s="7"/>
      <c r="C2" s="164"/>
      <c r="D2" s="174"/>
      <c r="E2" s="7"/>
      <c r="F2" s="10"/>
      <c r="G2" s="7"/>
      <c r="H2" s="7"/>
      <c r="I2" s="4"/>
      <c r="J2" s="2"/>
      <c r="K2" s="165"/>
    </row>
    <row r="3" spans="1:29" ht="45.75" customHeight="1">
      <c r="A3" s="259" t="s">
        <v>2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</row>
    <row r="4" spans="1:29" ht="18.75">
      <c r="A4" s="260" t="s">
        <v>3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</row>
    <row r="5" spans="1:29" ht="10.5" customHeight="1">
      <c r="L5" s="168"/>
      <c r="M5" s="168"/>
      <c r="N5" s="168"/>
      <c r="O5" s="168"/>
      <c r="P5" s="168"/>
      <c r="R5" s="193"/>
      <c r="S5" s="193"/>
      <c r="T5" s="263" t="s">
        <v>4</v>
      </c>
      <c r="U5" s="263"/>
      <c r="V5" s="263"/>
      <c r="W5" s="263"/>
      <c r="X5" s="263"/>
      <c r="Y5" s="263"/>
      <c r="Z5" s="263"/>
      <c r="AA5" s="263"/>
      <c r="AB5" s="263"/>
      <c r="AC5" s="263"/>
    </row>
    <row r="6" spans="1:29" ht="15.75" customHeight="1">
      <c r="A6" s="166"/>
      <c r="B6" s="166"/>
      <c r="C6" s="166"/>
      <c r="D6" s="175"/>
      <c r="E6" s="166"/>
      <c r="Q6" s="193"/>
      <c r="R6" s="193"/>
      <c r="S6" s="193"/>
      <c r="T6" s="263"/>
      <c r="U6" s="263"/>
      <c r="V6" s="263"/>
      <c r="W6" s="263"/>
      <c r="X6" s="263"/>
      <c r="Y6" s="263"/>
      <c r="Z6" s="263"/>
      <c r="AA6" s="263"/>
      <c r="AB6" s="263"/>
      <c r="AC6" s="263"/>
    </row>
    <row r="7" spans="1:29" ht="15" customHeight="1">
      <c r="B7" s="190" t="s">
        <v>5</v>
      </c>
      <c r="C7" s="190"/>
      <c r="D7" s="261" t="s">
        <v>6</v>
      </c>
      <c r="E7" s="261"/>
      <c r="F7" s="261"/>
      <c r="G7" s="261"/>
      <c r="H7" s="261"/>
      <c r="I7" s="261"/>
      <c r="J7" s="261"/>
      <c r="K7" s="261"/>
    </row>
    <row r="8" spans="1:29" ht="15" customHeight="1">
      <c r="B8" s="258" t="s">
        <v>7</v>
      </c>
      <c r="C8" s="258"/>
      <c r="D8" s="261" t="s">
        <v>8</v>
      </c>
      <c r="E8" s="261"/>
      <c r="F8" s="261"/>
      <c r="G8" s="261"/>
      <c r="H8" s="261"/>
      <c r="I8" s="261"/>
      <c r="J8" s="261"/>
      <c r="K8" s="261"/>
    </row>
    <row r="9" spans="1:29" ht="15" customHeight="1">
      <c r="B9" s="258" t="s">
        <v>9</v>
      </c>
      <c r="C9" s="258"/>
      <c r="D9" s="261" t="s">
        <v>10</v>
      </c>
      <c r="E9" s="261"/>
      <c r="F9" s="261"/>
      <c r="G9" s="261"/>
      <c r="H9" s="261"/>
      <c r="I9" s="261"/>
      <c r="J9" s="261"/>
      <c r="K9" s="261"/>
    </row>
    <row r="10" spans="1:29" ht="15" customHeight="1">
      <c r="B10" s="191" t="s">
        <v>11</v>
      </c>
      <c r="C10" s="191"/>
      <c r="D10" s="262">
        <v>100</v>
      </c>
      <c r="E10" s="262"/>
      <c r="F10" s="262"/>
      <c r="G10" s="262"/>
      <c r="H10" s="262"/>
      <c r="I10" s="262"/>
      <c r="J10" s="262"/>
      <c r="K10" s="262"/>
    </row>
    <row r="11" spans="1:29" ht="9.75" customHeight="1" thickBot="1"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</row>
    <row r="12" spans="1:29" ht="31.5" customHeight="1">
      <c r="A12" s="252" t="s">
        <v>12</v>
      </c>
      <c r="B12" s="256" t="s">
        <v>13</v>
      </c>
      <c r="C12" s="254" t="s">
        <v>14</v>
      </c>
      <c r="D12" s="256" t="s">
        <v>15</v>
      </c>
      <c r="E12" s="256" t="s">
        <v>16</v>
      </c>
      <c r="F12" s="264" t="s">
        <v>17</v>
      </c>
      <c r="G12" s="265"/>
      <c r="H12" s="265"/>
      <c r="I12" s="265"/>
      <c r="J12" s="266" t="s">
        <v>18</v>
      </c>
      <c r="K12" s="266"/>
      <c r="L12" s="266"/>
      <c r="M12" s="266"/>
      <c r="N12" s="267" t="s">
        <v>19</v>
      </c>
      <c r="O12" s="267"/>
      <c r="P12" s="267"/>
      <c r="Q12" s="267"/>
      <c r="R12" s="268" t="s">
        <v>20</v>
      </c>
      <c r="S12" s="268"/>
      <c r="T12" s="268"/>
      <c r="U12" s="268"/>
      <c r="V12" s="268"/>
      <c r="W12" s="269" t="s">
        <v>21</v>
      </c>
      <c r="X12" s="269"/>
      <c r="Y12" s="269"/>
      <c r="Z12" s="269"/>
      <c r="AA12" s="249" t="s">
        <v>22</v>
      </c>
      <c r="AB12" s="249"/>
      <c r="AC12" s="250"/>
    </row>
    <row r="13" spans="1:29" s="178" customFormat="1" ht="19.5" customHeight="1">
      <c r="A13" s="253"/>
      <c r="B13" s="257"/>
      <c r="C13" s="255"/>
      <c r="D13" s="257"/>
      <c r="E13" s="257"/>
      <c r="F13" s="182" t="s">
        <v>23</v>
      </c>
      <c r="G13" s="218" t="s">
        <v>24</v>
      </c>
      <c r="H13" s="218" t="s">
        <v>25</v>
      </c>
      <c r="I13" s="213" t="s">
        <v>26</v>
      </c>
      <c r="J13" s="218" t="s">
        <v>27</v>
      </c>
      <c r="K13" s="220" t="s">
        <v>28</v>
      </c>
      <c r="L13" s="220" t="s">
        <v>29</v>
      </c>
      <c r="M13" s="220" t="s">
        <v>30</v>
      </c>
      <c r="N13" s="213" t="s">
        <v>31</v>
      </c>
      <c r="O13" s="214" t="s">
        <v>32</v>
      </c>
      <c r="P13" s="214" t="s">
        <v>33</v>
      </c>
      <c r="Q13" s="214" t="s">
        <v>34</v>
      </c>
      <c r="R13" s="183" t="s">
        <v>35</v>
      </c>
      <c r="S13" s="183" t="s">
        <v>36</v>
      </c>
      <c r="T13" s="183" t="s">
        <v>37</v>
      </c>
      <c r="U13" s="213" t="s">
        <v>38</v>
      </c>
      <c r="V13" s="183" t="s">
        <v>39</v>
      </c>
      <c r="W13" s="219" t="s">
        <v>40</v>
      </c>
      <c r="X13" s="219" t="s">
        <v>41</v>
      </c>
      <c r="Y13" s="219" t="s">
        <v>42</v>
      </c>
      <c r="Z13" s="226" t="s">
        <v>43</v>
      </c>
      <c r="AA13" s="227" t="s">
        <v>44</v>
      </c>
      <c r="AB13" s="228" t="s">
        <v>45</v>
      </c>
      <c r="AC13" s="228" t="s">
        <v>46</v>
      </c>
    </row>
    <row r="14" spans="1:29" s="172" customFormat="1" ht="30" customHeight="1">
      <c r="A14" s="189">
        <v>1</v>
      </c>
      <c r="B14" s="270" t="s">
        <v>47</v>
      </c>
      <c r="C14" s="185" t="s">
        <v>48</v>
      </c>
      <c r="D14" s="187" t="s">
        <v>49</v>
      </c>
      <c r="E14" s="169">
        <v>1</v>
      </c>
      <c r="F14" s="170"/>
      <c r="G14" s="171"/>
      <c r="H14" s="171"/>
      <c r="I14" s="171"/>
      <c r="J14" s="171"/>
      <c r="K14" s="221"/>
      <c r="L14" s="221"/>
      <c r="M14" s="221"/>
      <c r="N14" s="247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223"/>
      <c r="AA14" s="223"/>
      <c r="AB14" s="223"/>
      <c r="AC14" s="179"/>
    </row>
    <row r="15" spans="1:29" s="172" customFormat="1" ht="30" customHeight="1">
      <c r="A15" s="189">
        <v>2</v>
      </c>
      <c r="B15" s="270"/>
      <c r="C15" s="185" t="s">
        <v>50</v>
      </c>
      <c r="D15" s="187" t="s">
        <v>51</v>
      </c>
      <c r="E15" s="169">
        <v>1</v>
      </c>
      <c r="F15" s="170"/>
      <c r="G15" s="171"/>
      <c r="H15" s="171"/>
      <c r="I15" s="171"/>
      <c r="J15" s="171"/>
      <c r="K15" s="221"/>
      <c r="L15" s="221"/>
      <c r="M15" s="221"/>
      <c r="N15" s="247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223"/>
      <c r="AA15" s="223"/>
      <c r="AB15" s="223"/>
      <c r="AC15" s="179"/>
    </row>
    <row r="16" spans="1:29" s="172" customFormat="1" ht="30" customHeight="1">
      <c r="A16" s="189">
        <v>3</v>
      </c>
      <c r="B16" s="270"/>
      <c r="C16" s="185" t="s">
        <v>52</v>
      </c>
      <c r="D16" s="187" t="s">
        <v>53</v>
      </c>
      <c r="E16" s="169">
        <v>1</v>
      </c>
      <c r="F16" s="170"/>
      <c r="G16" s="171"/>
      <c r="H16" s="171"/>
      <c r="I16" s="171"/>
      <c r="J16" s="171"/>
      <c r="K16" s="221"/>
      <c r="L16" s="221"/>
      <c r="M16" s="221"/>
      <c r="N16" s="247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223"/>
      <c r="AA16" s="223"/>
      <c r="AB16" s="223"/>
      <c r="AC16" s="179"/>
    </row>
    <row r="17" spans="1:29" s="172" customFormat="1" ht="30" customHeight="1">
      <c r="A17" s="189">
        <v>4</v>
      </c>
      <c r="B17" s="270"/>
      <c r="C17" s="185" t="s">
        <v>54</v>
      </c>
      <c r="D17" s="187" t="s">
        <v>53</v>
      </c>
      <c r="E17" s="169">
        <v>1</v>
      </c>
      <c r="F17" s="171"/>
      <c r="G17" s="170"/>
      <c r="H17" s="171"/>
      <c r="I17" s="171"/>
      <c r="J17" s="171"/>
      <c r="K17" s="221"/>
      <c r="L17" s="221"/>
      <c r="M17" s="221"/>
      <c r="N17" s="247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223"/>
      <c r="AA17" s="223"/>
      <c r="AB17" s="223"/>
      <c r="AC17" s="179"/>
    </row>
    <row r="18" spans="1:29" s="172" customFormat="1" ht="30" customHeight="1">
      <c r="A18" s="189">
        <v>5</v>
      </c>
      <c r="B18" s="270"/>
      <c r="C18" s="185" t="s">
        <v>55</v>
      </c>
      <c r="D18" s="187" t="s">
        <v>51</v>
      </c>
      <c r="E18" s="169">
        <v>1</v>
      </c>
      <c r="F18" s="171"/>
      <c r="G18" s="170"/>
      <c r="H18" s="171"/>
      <c r="I18" s="171"/>
      <c r="J18" s="171"/>
      <c r="K18" s="221"/>
      <c r="L18" s="221"/>
      <c r="M18" s="221"/>
      <c r="N18" s="247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223"/>
      <c r="AA18" s="223"/>
      <c r="AB18" s="223"/>
      <c r="AC18" s="179"/>
    </row>
    <row r="19" spans="1:29" s="172" customFormat="1" ht="32.25" customHeight="1">
      <c r="A19" s="189">
        <v>6</v>
      </c>
      <c r="B19" s="270"/>
      <c r="C19" s="185" t="s">
        <v>56</v>
      </c>
      <c r="D19" s="187" t="s">
        <v>53</v>
      </c>
      <c r="E19" s="169">
        <v>1</v>
      </c>
      <c r="F19" s="171"/>
      <c r="G19" s="171"/>
      <c r="H19" s="170"/>
      <c r="I19" s="171"/>
      <c r="J19" s="171"/>
      <c r="K19" s="221"/>
      <c r="L19" s="221"/>
      <c r="M19" s="221"/>
      <c r="N19" s="247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223"/>
      <c r="AA19" s="223"/>
      <c r="AB19" s="223"/>
      <c r="AC19" s="179"/>
    </row>
    <row r="20" spans="1:29" s="172" customFormat="1" ht="30" customHeight="1">
      <c r="A20" s="189">
        <v>7</v>
      </c>
      <c r="B20" s="270" t="s">
        <v>57</v>
      </c>
      <c r="C20" s="185" t="s">
        <v>58</v>
      </c>
      <c r="D20" s="187" t="s">
        <v>59</v>
      </c>
      <c r="E20" s="211">
        <v>1</v>
      </c>
      <c r="F20" s="171"/>
      <c r="G20" s="171"/>
      <c r="H20" s="171"/>
      <c r="I20" s="170"/>
      <c r="J20" s="171"/>
      <c r="K20" s="221"/>
      <c r="L20" s="221"/>
      <c r="M20" s="221"/>
      <c r="N20" s="247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223"/>
      <c r="AA20" s="223"/>
      <c r="AB20" s="223"/>
      <c r="AC20" s="179"/>
    </row>
    <row r="21" spans="1:29" s="172" customFormat="1" ht="30" customHeight="1">
      <c r="A21" s="189">
        <v>8</v>
      </c>
      <c r="B21" s="270"/>
      <c r="C21" s="185" t="s">
        <v>60</v>
      </c>
      <c r="D21" s="187" t="s">
        <v>59</v>
      </c>
      <c r="E21" s="211">
        <v>2</v>
      </c>
      <c r="F21" s="212"/>
      <c r="G21" s="171"/>
      <c r="H21" s="171"/>
      <c r="I21" s="171"/>
      <c r="J21" s="170"/>
      <c r="K21" s="221"/>
      <c r="L21" s="221"/>
      <c r="M21" s="221"/>
      <c r="N21" s="170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223"/>
      <c r="AA21" s="223"/>
      <c r="AB21" s="223"/>
      <c r="AC21" s="179"/>
    </row>
    <row r="22" spans="1:29" s="172" customFormat="1" ht="30" customHeight="1">
      <c r="A22" s="189">
        <v>9</v>
      </c>
      <c r="B22" s="270"/>
      <c r="C22" s="185" t="s">
        <v>61</v>
      </c>
      <c r="D22" s="187" t="s">
        <v>53</v>
      </c>
      <c r="E22" s="211">
        <v>1</v>
      </c>
      <c r="F22" s="171"/>
      <c r="G22" s="171"/>
      <c r="H22" s="171"/>
      <c r="I22" s="171"/>
      <c r="J22" s="171"/>
      <c r="K22" s="221"/>
      <c r="L22" s="221"/>
      <c r="M22" s="221"/>
      <c r="N22" s="247"/>
      <c r="O22" s="170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223"/>
      <c r="AA22" s="223"/>
      <c r="AB22" s="223"/>
      <c r="AC22" s="179"/>
    </row>
    <row r="23" spans="1:29" s="172" customFormat="1" ht="30" customHeight="1">
      <c r="A23" s="189">
        <v>10</v>
      </c>
      <c r="B23" s="270"/>
      <c r="C23" s="185" t="s">
        <v>62</v>
      </c>
      <c r="D23" s="187" t="s">
        <v>59</v>
      </c>
      <c r="E23" s="211">
        <v>1</v>
      </c>
      <c r="F23" s="171"/>
      <c r="G23" s="171"/>
      <c r="H23" s="171"/>
      <c r="I23" s="171"/>
      <c r="J23" s="171"/>
      <c r="K23" s="221"/>
      <c r="L23" s="221"/>
      <c r="M23" s="221"/>
      <c r="N23" s="247"/>
      <c r="O23" s="171"/>
      <c r="P23" s="170"/>
      <c r="Q23" s="171"/>
      <c r="R23" s="171"/>
      <c r="S23" s="171"/>
      <c r="T23" s="171"/>
      <c r="U23" s="171"/>
      <c r="V23" s="171"/>
      <c r="W23" s="171"/>
      <c r="X23" s="171"/>
      <c r="Y23" s="171"/>
      <c r="Z23" s="223"/>
      <c r="AA23" s="223"/>
      <c r="AB23" s="223"/>
      <c r="AC23" s="179"/>
    </row>
    <row r="24" spans="1:29" s="172" customFormat="1" ht="26.25" customHeight="1">
      <c r="A24" s="189">
        <v>11</v>
      </c>
      <c r="B24" s="270"/>
      <c r="C24" s="185" t="s">
        <v>63</v>
      </c>
      <c r="D24" s="187" t="s">
        <v>59</v>
      </c>
      <c r="E24" s="211">
        <v>4</v>
      </c>
      <c r="F24" s="171"/>
      <c r="G24" s="171"/>
      <c r="H24" s="171"/>
      <c r="I24" s="171"/>
      <c r="J24" s="171"/>
      <c r="K24" s="221"/>
      <c r="L24" s="221"/>
      <c r="M24" s="221"/>
      <c r="N24" s="247"/>
      <c r="P24" s="171"/>
      <c r="Q24" s="170"/>
      <c r="R24" s="170"/>
      <c r="S24" s="170"/>
      <c r="T24" s="170"/>
      <c r="U24" s="171"/>
      <c r="V24" s="171"/>
      <c r="W24" s="171"/>
      <c r="X24" s="171"/>
      <c r="Y24" s="171"/>
      <c r="Z24" s="223"/>
      <c r="AA24" s="223"/>
      <c r="AB24" s="223"/>
      <c r="AC24" s="179"/>
    </row>
    <row r="25" spans="1:29" s="172" customFormat="1" ht="26.25" customHeight="1">
      <c r="A25" s="189">
        <v>12</v>
      </c>
      <c r="B25" s="270" t="s">
        <v>64</v>
      </c>
      <c r="C25" s="185" t="s">
        <v>65</v>
      </c>
      <c r="D25" s="187" t="s">
        <v>66</v>
      </c>
      <c r="E25" s="211">
        <v>1</v>
      </c>
      <c r="F25" s="171"/>
      <c r="G25" s="171"/>
      <c r="H25" s="171"/>
      <c r="I25" s="171"/>
      <c r="J25" s="171"/>
      <c r="K25" s="221"/>
      <c r="L25" s="221"/>
      <c r="M25" s="221"/>
      <c r="N25" s="247"/>
      <c r="O25" s="171"/>
      <c r="P25" s="171"/>
      <c r="Q25" s="171"/>
      <c r="R25" s="171"/>
      <c r="S25" s="171"/>
      <c r="T25" s="171"/>
      <c r="U25" s="170"/>
      <c r="V25" s="171"/>
      <c r="W25" s="171"/>
      <c r="X25" s="171"/>
      <c r="Y25" s="171"/>
      <c r="Z25" s="223"/>
      <c r="AA25" s="223"/>
      <c r="AB25" s="223"/>
      <c r="AC25" s="179"/>
    </row>
    <row r="26" spans="1:29" s="172" customFormat="1" ht="26.25" customHeight="1">
      <c r="A26" s="189">
        <v>13</v>
      </c>
      <c r="B26" s="270"/>
      <c r="C26" s="185" t="s">
        <v>67</v>
      </c>
      <c r="D26" s="187" t="s">
        <v>59</v>
      </c>
      <c r="E26" s="211">
        <v>1</v>
      </c>
      <c r="F26" s="171"/>
      <c r="G26" s="171"/>
      <c r="H26" s="171"/>
      <c r="I26" s="171"/>
      <c r="J26" s="171"/>
      <c r="K26" s="221"/>
      <c r="L26" s="221"/>
      <c r="M26" s="221"/>
      <c r="N26" s="247"/>
      <c r="O26" s="171"/>
      <c r="P26" s="171"/>
      <c r="Q26" s="171"/>
      <c r="R26" s="171"/>
      <c r="S26" s="171"/>
      <c r="T26" s="171"/>
      <c r="U26" s="171"/>
      <c r="V26" s="170"/>
      <c r="W26" s="171"/>
      <c r="X26" s="171"/>
      <c r="Y26" s="171"/>
      <c r="Z26" s="223"/>
      <c r="AA26" s="223"/>
      <c r="AB26" s="223"/>
      <c r="AC26" s="179"/>
    </row>
    <row r="27" spans="1:29" ht="30" customHeight="1">
      <c r="A27" s="189">
        <v>14</v>
      </c>
      <c r="B27" s="270"/>
      <c r="C27" s="185" t="s">
        <v>68</v>
      </c>
      <c r="D27" s="187" t="s">
        <v>59</v>
      </c>
      <c r="E27" s="211">
        <v>1</v>
      </c>
      <c r="F27" s="171"/>
      <c r="G27" s="171"/>
      <c r="H27" s="171"/>
      <c r="I27" s="171"/>
      <c r="J27" s="171"/>
      <c r="K27" s="221"/>
      <c r="L27" s="221"/>
      <c r="M27" s="221"/>
      <c r="N27" s="247"/>
      <c r="O27" s="171"/>
      <c r="P27" s="171"/>
      <c r="Q27" s="171"/>
      <c r="R27" s="171"/>
      <c r="S27" s="171"/>
      <c r="T27" s="171"/>
      <c r="U27" s="171"/>
      <c r="V27" s="171"/>
      <c r="W27" s="170"/>
      <c r="X27" s="171"/>
      <c r="Y27" s="171"/>
      <c r="Z27" s="223"/>
      <c r="AA27" s="223"/>
      <c r="AB27" s="223"/>
      <c r="AC27" s="179"/>
    </row>
    <row r="28" spans="1:29" ht="30" customHeight="1">
      <c r="A28" s="189">
        <v>15</v>
      </c>
      <c r="B28" s="270"/>
      <c r="C28" s="185" t="s">
        <v>69</v>
      </c>
      <c r="D28" s="187" t="s">
        <v>59</v>
      </c>
      <c r="E28" s="211">
        <v>1</v>
      </c>
      <c r="F28" s="171"/>
      <c r="G28" s="171"/>
      <c r="H28" s="171"/>
      <c r="I28" s="171"/>
      <c r="J28" s="171"/>
      <c r="K28" s="221"/>
      <c r="L28" s="221"/>
      <c r="M28" s="221"/>
      <c r="N28" s="247"/>
      <c r="O28" s="171"/>
      <c r="P28" s="171"/>
      <c r="Q28" s="171"/>
      <c r="R28" s="171"/>
      <c r="S28" s="171"/>
      <c r="T28" s="171"/>
      <c r="U28" s="171"/>
      <c r="V28" s="171"/>
      <c r="W28" s="171"/>
      <c r="X28" s="170"/>
      <c r="Y28" s="171"/>
      <c r="Z28" s="223"/>
      <c r="AA28" s="223"/>
      <c r="AB28" s="223"/>
      <c r="AC28" s="179"/>
    </row>
    <row r="29" spans="1:29" ht="30" customHeight="1">
      <c r="A29" s="189">
        <v>16</v>
      </c>
      <c r="B29" s="270"/>
      <c r="C29" s="185" t="s">
        <v>70</v>
      </c>
      <c r="D29" s="187" t="s">
        <v>59</v>
      </c>
      <c r="E29" s="211">
        <v>1</v>
      </c>
      <c r="F29" s="171"/>
      <c r="G29" s="171"/>
      <c r="H29" s="171"/>
      <c r="I29" s="171"/>
      <c r="J29" s="171"/>
      <c r="K29" s="221"/>
      <c r="L29" s="221"/>
      <c r="M29" s="221"/>
      <c r="N29" s="247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0"/>
      <c r="Z29" s="223"/>
      <c r="AA29" s="223"/>
      <c r="AB29" s="223"/>
      <c r="AC29" s="215"/>
    </row>
    <row r="30" spans="1:29" ht="30" customHeight="1">
      <c r="A30" s="189">
        <v>17</v>
      </c>
      <c r="B30" s="270"/>
      <c r="C30" s="185" t="s">
        <v>71</v>
      </c>
      <c r="D30" s="187" t="s">
        <v>72</v>
      </c>
      <c r="E30" s="169">
        <v>1</v>
      </c>
      <c r="F30" s="171"/>
      <c r="G30" s="171"/>
      <c r="H30" s="171"/>
      <c r="I30" s="171"/>
      <c r="J30" s="171"/>
      <c r="K30" s="221"/>
      <c r="L30" s="221"/>
      <c r="M30" s="221"/>
      <c r="N30" s="247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0"/>
      <c r="AA30" s="223"/>
      <c r="AB30" s="223"/>
      <c r="AC30" s="215"/>
    </row>
    <row r="31" spans="1:29" ht="30" customHeight="1">
      <c r="A31" s="189">
        <v>18</v>
      </c>
      <c r="B31" s="270"/>
      <c r="C31" s="185" t="s">
        <v>73</v>
      </c>
      <c r="D31" s="187" t="s">
        <v>74</v>
      </c>
      <c r="E31" s="169">
        <v>1</v>
      </c>
      <c r="F31" s="171"/>
      <c r="G31" s="171"/>
      <c r="H31" s="171"/>
      <c r="I31" s="171"/>
      <c r="J31" s="171"/>
      <c r="K31" s="221"/>
      <c r="L31" s="221"/>
      <c r="M31" s="221"/>
      <c r="N31" s="247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223"/>
      <c r="AA31" s="170"/>
      <c r="AB31" s="223"/>
      <c r="AC31" s="179"/>
    </row>
    <row r="32" spans="1:29" ht="30" customHeight="1">
      <c r="A32" s="189">
        <v>19</v>
      </c>
      <c r="B32" s="270"/>
      <c r="C32" s="185" t="s">
        <v>75</v>
      </c>
      <c r="D32" s="187" t="s">
        <v>76</v>
      </c>
      <c r="E32" s="169">
        <v>1</v>
      </c>
      <c r="F32" s="171"/>
      <c r="G32" s="171"/>
      <c r="H32" s="171"/>
      <c r="I32" s="171"/>
      <c r="J32" s="171"/>
      <c r="K32" s="221"/>
      <c r="L32" s="221"/>
      <c r="M32" s="221"/>
      <c r="N32" s="247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223"/>
      <c r="AA32" s="224"/>
      <c r="AB32" s="223"/>
      <c r="AC32" s="179"/>
    </row>
    <row r="33" spans="1:29" ht="30" customHeight="1">
      <c r="A33" s="189">
        <v>20</v>
      </c>
      <c r="B33" s="270" t="s">
        <v>77</v>
      </c>
      <c r="C33" s="185" t="s">
        <v>78</v>
      </c>
      <c r="D33" s="187" t="s">
        <v>51</v>
      </c>
      <c r="E33" s="169">
        <v>1</v>
      </c>
      <c r="F33" s="171"/>
      <c r="G33" s="171"/>
      <c r="H33" s="171"/>
      <c r="I33" s="171"/>
      <c r="J33" s="171"/>
      <c r="K33" s="221"/>
      <c r="L33" s="221"/>
      <c r="M33" s="221"/>
      <c r="N33" s="247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223"/>
      <c r="AA33" s="224"/>
      <c r="AB33" s="223"/>
      <c r="AC33" s="179"/>
    </row>
    <row r="34" spans="1:29" ht="30" customHeight="1">
      <c r="A34" s="189">
        <v>21</v>
      </c>
      <c r="B34" s="270"/>
      <c r="C34" s="185" t="s">
        <v>79</v>
      </c>
      <c r="D34" s="187" t="s">
        <v>80</v>
      </c>
      <c r="E34" s="169">
        <v>1</v>
      </c>
      <c r="F34" s="171"/>
      <c r="G34" s="171"/>
      <c r="H34" s="171"/>
      <c r="I34" s="171"/>
      <c r="J34" s="171"/>
      <c r="K34" s="221"/>
      <c r="L34" s="221"/>
      <c r="M34" s="221"/>
      <c r="N34" s="247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223"/>
      <c r="AA34" s="224"/>
      <c r="AB34" s="223"/>
      <c r="AC34" s="179"/>
    </row>
    <row r="35" spans="1:29" ht="30" customHeight="1">
      <c r="A35" s="189">
        <v>22</v>
      </c>
      <c r="B35" s="270"/>
      <c r="C35" s="185" t="s">
        <v>81</v>
      </c>
      <c r="D35" s="187" t="s">
        <v>51</v>
      </c>
      <c r="E35" s="169">
        <v>1</v>
      </c>
      <c r="F35" s="171"/>
      <c r="G35" s="171"/>
      <c r="H35" s="171"/>
      <c r="I35" s="171"/>
      <c r="J35" s="171"/>
      <c r="K35" s="221"/>
      <c r="L35" s="221"/>
      <c r="M35" s="221"/>
      <c r="N35" s="247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223"/>
      <c r="AA35" s="223"/>
      <c r="AB35" s="224"/>
      <c r="AC35" s="179"/>
    </row>
    <row r="36" spans="1:29" ht="30" customHeight="1" thickBot="1">
      <c r="A36" s="216">
        <v>23</v>
      </c>
      <c r="B36" s="271"/>
      <c r="C36" s="186" t="s">
        <v>82</v>
      </c>
      <c r="D36" s="188" t="s">
        <v>76</v>
      </c>
      <c r="E36" s="217">
        <v>1</v>
      </c>
      <c r="F36" s="173"/>
      <c r="G36" s="173"/>
      <c r="H36" s="173"/>
      <c r="I36" s="173"/>
      <c r="J36" s="173"/>
      <c r="K36" s="222"/>
      <c r="L36" s="222"/>
      <c r="M36" s="222"/>
      <c r="N36" s="248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225"/>
      <c r="AA36" s="225"/>
      <c r="AB36" s="225"/>
      <c r="AC36" s="180"/>
    </row>
    <row r="37" spans="1:29">
      <c r="E37" s="192"/>
      <c r="K37" s="177"/>
    </row>
    <row r="38" spans="1:29" ht="15.75">
      <c r="K38" s="167"/>
      <c r="M38" s="167"/>
      <c r="O38" s="184"/>
      <c r="P38" s="274" t="s">
        <v>83</v>
      </c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</row>
    <row r="39" spans="1:29" ht="15.75">
      <c r="K39" s="167"/>
      <c r="M39" s="167"/>
      <c r="O39" s="184"/>
      <c r="P39" s="273" t="s">
        <v>84</v>
      </c>
      <c r="Q39" s="273"/>
      <c r="R39" s="273"/>
      <c r="S39" s="273"/>
      <c r="T39" s="273"/>
      <c r="U39" s="273"/>
      <c r="V39" s="273"/>
      <c r="W39" s="273"/>
      <c r="X39" s="273"/>
      <c r="Y39" s="273"/>
      <c r="Z39" s="273"/>
      <c r="AA39" s="273"/>
      <c r="AB39" s="273"/>
      <c r="AC39" s="273"/>
    </row>
    <row r="40" spans="1:29"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</row>
    <row r="41" spans="1:29"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</row>
    <row r="42" spans="1:29">
      <c r="O42" s="184"/>
      <c r="P42" s="184"/>
      <c r="Q42" s="272" t="s">
        <v>85</v>
      </c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  <c r="AC42" s="272"/>
    </row>
  </sheetData>
  <mergeCells count="28">
    <mergeCell ref="B14:B19"/>
    <mergeCell ref="B20:B24"/>
    <mergeCell ref="B25:B32"/>
    <mergeCell ref="B33:B36"/>
    <mergeCell ref="Q42:AC42"/>
    <mergeCell ref="P39:AC39"/>
    <mergeCell ref="P38:AC38"/>
    <mergeCell ref="F12:I12"/>
    <mergeCell ref="J12:M12"/>
    <mergeCell ref="N12:Q12"/>
    <mergeCell ref="R12:V12"/>
    <mergeCell ref="W12:Z12"/>
    <mergeCell ref="AA12:AC12"/>
    <mergeCell ref="A1:D1"/>
    <mergeCell ref="A12:A13"/>
    <mergeCell ref="C12:C13"/>
    <mergeCell ref="D12:D13"/>
    <mergeCell ref="B8:C8"/>
    <mergeCell ref="A3:AC3"/>
    <mergeCell ref="A4:AC4"/>
    <mergeCell ref="B12:B13"/>
    <mergeCell ref="E12:E13"/>
    <mergeCell ref="D7:K7"/>
    <mergeCell ref="D9:K9"/>
    <mergeCell ref="D8:K8"/>
    <mergeCell ref="D10:K10"/>
    <mergeCell ref="B9:C9"/>
    <mergeCell ref="T5:AC6"/>
  </mergeCells>
  <pageMargins left="0.15748031496062992" right="0.11811023622047245" top="0.33" bottom="0.22" header="0.32" footer="0.1"/>
  <pageSetup paperSize="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G16" sqref="G16"/>
    </sheetView>
  </sheetViews>
  <sheetFormatPr defaultColWidth="11.5546875" defaultRowHeight="15"/>
  <cols>
    <col min="2" max="2" width="21.6640625" customWidth="1"/>
    <col min="4" max="4" width="35" customWidth="1"/>
  </cols>
  <sheetData>
    <row r="1" spans="1:4" ht="15.75">
      <c r="A1" s="229" t="s">
        <v>0</v>
      </c>
      <c r="B1" s="230"/>
      <c r="C1" s="230"/>
      <c r="D1" s="230"/>
    </row>
    <row r="2" spans="1:4" ht="15.75">
      <c r="A2" s="229" t="s">
        <v>1</v>
      </c>
      <c r="B2" s="230"/>
      <c r="C2" s="230"/>
      <c r="D2" s="230"/>
    </row>
    <row r="3" spans="1:4" ht="15.75">
      <c r="A3" s="231"/>
      <c r="B3" s="230"/>
      <c r="C3" s="230"/>
      <c r="D3" s="230"/>
    </row>
    <row r="4" spans="1:4" ht="21" customHeight="1">
      <c r="A4" s="275" t="s">
        <v>86</v>
      </c>
      <c r="B4" s="275"/>
      <c r="C4" s="275"/>
      <c r="D4" s="275"/>
    </row>
    <row r="5" spans="1:4" ht="18" customHeight="1">
      <c r="A5" s="275" t="s">
        <v>87</v>
      </c>
      <c r="B5" s="275"/>
      <c r="C5" s="275"/>
      <c r="D5" s="275"/>
    </row>
    <row r="6" spans="1:4" ht="18" customHeight="1">
      <c r="A6" s="276"/>
      <c r="B6" s="276"/>
      <c r="C6" s="276"/>
      <c r="D6" s="276"/>
    </row>
    <row r="7" spans="1:4" ht="16.5" thickBot="1">
      <c r="A7" s="231"/>
      <c r="B7" s="230"/>
      <c r="C7" s="230"/>
      <c r="D7" s="230"/>
    </row>
    <row r="8" spans="1:4">
      <c r="A8" s="232" t="s">
        <v>88</v>
      </c>
      <c r="B8" s="232" t="s">
        <v>89</v>
      </c>
      <c r="C8" s="233" t="s">
        <v>90</v>
      </c>
      <c r="D8" s="234" t="s">
        <v>91</v>
      </c>
    </row>
    <row r="9" spans="1:4" ht="14.1" customHeight="1">
      <c r="A9" s="235">
        <v>1</v>
      </c>
      <c r="B9" s="236" t="s">
        <v>92</v>
      </c>
      <c r="C9" s="237">
        <v>1</v>
      </c>
      <c r="D9" s="238" t="s">
        <v>93</v>
      </c>
    </row>
    <row r="10" spans="1:4" ht="15.75">
      <c r="A10" s="235">
        <v>2</v>
      </c>
      <c r="B10" s="239" t="s">
        <v>94</v>
      </c>
      <c r="C10" s="237">
        <v>1</v>
      </c>
      <c r="D10" s="238" t="s">
        <v>95</v>
      </c>
    </row>
    <row r="11" spans="1:4" ht="15.75">
      <c r="A11" s="235">
        <v>3</v>
      </c>
      <c r="B11" s="239" t="s">
        <v>96</v>
      </c>
      <c r="C11" s="237">
        <v>1</v>
      </c>
      <c r="D11" s="238" t="s">
        <v>97</v>
      </c>
    </row>
    <row r="12" spans="1:4" ht="15.75">
      <c r="A12" s="235">
        <v>4</v>
      </c>
      <c r="B12" s="239" t="s">
        <v>98</v>
      </c>
      <c r="C12" s="237">
        <v>1</v>
      </c>
      <c r="D12" s="238" t="s">
        <v>99</v>
      </c>
    </row>
    <row r="13" spans="1:4" ht="15.75">
      <c r="A13" s="235">
        <v>5</v>
      </c>
      <c r="B13" s="239" t="s">
        <v>100</v>
      </c>
      <c r="C13" s="237">
        <v>1</v>
      </c>
      <c r="D13" s="238" t="s">
        <v>101</v>
      </c>
    </row>
    <row r="14" spans="1:4" ht="15.75">
      <c r="A14" s="235">
        <v>6</v>
      </c>
      <c r="B14" s="239" t="s">
        <v>102</v>
      </c>
      <c r="C14" s="237">
        <v>1</v>
      </c>
      <c r="D14" s="238" t="s">
        <v>103</v>
      </c>
    </row>
    <row r="15" spans="1:4" ht="16.5" thickBot="1">
      <c r="A15" s="240"/>
      <c r="B15" s="241"/>
      <c r="C15" s="242"/>
      <c r="D15" s="243"/>
    </row>
    <row r="16" spans="1:4" ht="15.75">
      <c r="A16" s="230"/>
      <c r="B16" s="230"/>
      <c r="C16" s="244">
        <v>6</v>
      </c>
      <c r="D16" s="230"/>
    </row>
    <row r="17" spans="1:4" ht="15.75">
      <c r="A17" s="230"/>
      <c r="B17" s="230"/>
      <c r="C17" s="230"/>
      <c r="D17" s="245" t="s">
        <v>104</v>
      </c>
    </row>
    <row r="18" spans="1:4" ht="15.75">
      <c r="A18" s="230"/>
      <c r="B18" s="230"/>
      <c r="C18" s="230"/>
      <c r="D18" s="244" t="s">
        <v>105</v>
      </c>
    </row>
    <row r="19" spans="1:4" ht="15.75">
      <c r="A19" s="230"/>
      <c r="B19" s="230"/>
      <c r="C19" s="230"/>
      <c r="D19" s="246"/>
    </row>
    <row r="20" spans="1:4" ht="15.75">
      <c r="A20" s="230"/>
      <c r="B20" s="230"/>
      <c r="C20" s="230"/>
      <c r="D20" s="246"/>
    </row>
    <row r="21" spans="1:4" ht="15.75">
      <c r="A21" s="230"/>
      <c r="B21" s="230"/>
      <c r="C21" s="230"/>
      <c r="D21" s="246"/>
    </row>
    <row r="22" spans="1:4" ht="15.75">
      <c r="A22" s="230"/>
      <c r="B22" s="230"/>
      <c r="C22" s="230"/>
      <c r="D22" s="244" t="s">
        <v>106</v>
      </c>
    </row>
    <row r="23" spans="1:4" ht="15.75">
      <c r="A23" s="230"/>
      <c r="B23" s="230"/>
      <c r="C23" s="230"/>
      <c r="D23" s="230"/>
    </row>
  </sheetData>
  <mergeCells count="3">
    <mergeCell ref="A4:D4"/>
    <mergeCell ref="A5:D5"/>
    <mergeCell ref="A6:D6"/>
  </mergeCells>
  <hyperlinks>
    <hyperlink ref="D9" r:id="rId1" display="chau.lth@vlu.edu.vn" xr:uid="{00000000-0004-0000-0100-000000000000}"/>
    <hyperlink ref="D10" r:id="rId2" xr:uid="{00000000-0004-0000-0100-000001000000}"/>
    <hyperlink ref="D12" r:id="rId3" xr:uid="{00000000-0004-0000-0100-000002000000}"/>
    <hyperlink ref="D13" r:id="rId4" xr:uid="{00000000-0004-0000-0100-000003000000}"/>
    <hyperlink ref="D11" r:id="rId5" xr:uid="{00000000-0004-0000-0100-000004000000}"/>
    <hyperlink ref="D14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4"/>
  <sheetViews>
    <sheetView topLeftCell="A4" workbookViewId="0">
      <selection activeCell="F15" sqref="F15"/>
    </sheetView>
  </sheetViews>
  <sheetFormatPr defaultColWidth="8.6640625" defaultRowHeight="15"/>
  <sheetData>
    <row r="1" spans="2:3">
      <c r="B1" t="s">
        <v>107</v>
      </c>
      <c r="C1">
        <v>1</v>
      </c>
    </row>
    <row r="2" spans="2:3">
      <c r="B2" t="s">
        <v>108</v>
      </c>
      <c r="C2">
        <v>1</v>
      </c>
    </row>
    <row r="3" spans="2:3">
      <c r="B3" t="s">
        <v>109</v>
      </c>
      <c r="C3">
        <v>1</v>
      </c>
    </row>
    <row r="4" spans="2:3">
      <c r="B4" t="s">
        <v>110</v>
      </c>
      <c r="C4">
        <v>1</v>
      </c>
    </row>
    <row r="5" spans="2:3">
      <c r="B5" t="s">
        <v>111</v>
      </c>
      <c r="C5">
        <v>1</v>
      </c>
    </row>
    <row r="6" spans="2:3">
      <c r="B6" t="s">
        <v>112</v>
      </c>
      <c r="C6">
        <v>1</v>
      </c>
    </row>
    <row r="7" spans="2:3">
      <c r="B7" t="s">
        <v>113</v>
      </c>
      <c r="C7">
        <v>1</v>
      </c>
    </row>
    <row r="8" spans="2:3">
      <c r="B8" t="s">
        <v>114</v>
      </c>
      <c r="C8">
        <v>1</v>
      </c>
    </row>
    <row r="9" spans="2:3">
      <c r="B9" t="s">
        <v>115</v>
      </c>
      <c r="C9">
        <v>1</v>
      </c>
    </row>
    <row r="10" spans="2:3">
      <c r="B10" t="s">
        <v>116</v>
      </c>
      <c r="C10">
        <v>1</v>
      </c>
    </row>
    <row r="11" spans="2:3">
      <c r="B11" t="s">
        <v>117</v>
      </c>
      <c r="C11">
        <v>1</v>
      </c>
    </row>
    <row r="12" spans="2:3">
      <c r="B12" t="s">
        <v>118</v>
      </c>
      <c r="C12">
        <v>1</v>
      </c>
    </row>
    <row r="13" spans="2:3">
      <c r="B13" t="s">
        <v>119</v>
      </c>
      <c r="C13">
        <v>1</v>
      </c>
    </row>
    <row r="14" spans="2:3">
      <c r="B14" t="s">
        <v>120</v>
      </c>
      <c r="C14">
        <v>1</v>
      </c>
    </row>
    <row r="15" spans="2:3">
      <c r="B15" t="s">
        <v>121</v>
      </c>
      <c r="C15">
        <v>1</v>
      </c>
    </row>
    <row r="16" spans="2:3">
      <c r="B16" t="s">
        <v>122</v>
      </c>
      <c r="C16">
        <v>1</v>
      </c>
    </row>
    <row r="17" spans="2:3">
      <c r="B17" t="s">
        <v>123</v>
      </c>
      <c r="C17">
        <v>1</v>
      </c>
    </row>
    <row r="18" spans="2:3">
      <c r="B18" t="s">
        <v>124</v>
      </c>
      <c r="C18">
        <v>1</v>
      </c>
    </row>
    <row r="19" spans="2:3">
      <c r="B19" t="s">
        <v>125</v>
      </c>
      <c r="C19">
        <v>1</v>
      </c>
    </row>
    <row r="20" spans="2:3">
      <c r="B20" t="s">
        <v>126</v>
      </c>
      <c r="C20">
        <v>1</v>
      </c>
    </row>
    <row r="21" spans="2:3">
      <c r="B21" t="s">
        <v>127</v>
      </c>
      <c r="C21">
        <v>1</v>
      </c>
    </row>
    <row r="22" spans="2:3">
      <c r="B22" t="s">
        <v>128</v>
      </c>
      <c r="C22">
        <v>1</v>
      </c>
    </row>
    <row r="23" spans="2:3">
      <c r="B23" t="s">
        <v>129</v>
      </c>
      <c r="C23">
        <v>1</v>
      </c>
    </row>
    <row r="24" spans="2:3">
      <c r="B24" t="s">
        <v>130</v>
      </c>
      <c r="C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Z1000"/>
  <sheetViews>
    <sheetView workbookViewId="0"/>
  </sheetViews>
  <sheetFormatPr defaultColWidth="11.33203125" defaultRowHeight="15" customHeight="1"/>
  <cols>
    <col min="1" max="1" width="4.109375" customWidth="1"/>
    <col min="2" max="2" width="6.6640625" customWidth="1"/>
    <col min="3" max="3" width="18.33203125" customWidth="1"/>
    <col min="4" max="4" width="8.6640625" customWidth="1"/>
    <col min="5" max="5" width="7.6640625" customWidth="1"/>
    <col min="6" max="12" width="10.6640625" customWidth="1"/>
    <col min="13" max="13" width="7.33203125" customWidth="1"/>
    <col min="14" max="15" width="8.33203125" customWidth="1"/>
    <col min="16" max="16" width="3.109375" customWidth="1"/>
    <col min="17" max="17" width="2.33203125" customWidth="1"/>
    <col min="18" max="18" width="5" customWidth="1"/>
    <col min="19" max="25" width="8.88671875" customWidth="1"/>
    <col min="26" max="26" width="8" customWidth="1"/>
  </cols>
  <sheetData>
    <row r="1" spans="1:26">
      <c r="A1" s="251" t="s">
        <v>131</v>
      </c>
      <c r="B1" s="288"/>
      <c r="C1" s="28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2"/>
      <c r="Y1" s="6"/>
      <c r="Z1" s="6"/>
    </row>
    <row r="2" spans="1:26" ht="14.25" customHeight="1">
      <c r="A2" s="7" t="s">
        <v>132</v>
      </c>
      <c r="B2" s="7"/>
      <c r="C2" s="7"/>
      <c r="D2" s="7"/>
      <c r="E2" s="6"/>
      <c r="F2" s="6"/>
      <c r="G2" s="6"/>
      <c r="H2" s="6"/>
      <c r="I2" s="6"/>
      <c r="J2" s="6"/>
      <c r="K2" s="6"/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4"/>
      <c r="X2" s="2"/>
      <c r="Y2" s="6"/>
      <c r="Z2" s="6"/>
    </row>
    <row r="3" spans="1:26" ht="23.25" customHeight="1">
      <c r="A3" s="279" t="s">
        <v>133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1:26" ht="17.25" customHeight="1">
      <c r="A4" s="260" t="s">
        <v>134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</row>
    <row r="5" spans="1:26">
      <c r="A5" s="13" t="s">
        <v>135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5"/>
      <c r="U5" s="5"/>
      <c r="V5" s="14"/>
      <c r="W5" s="5"/>
      <c r="X5" s="5"/>
      <c r="Y5" s="5"/>
      <c r="Z5" s="5"/>
    </row>
    <row r="6" spans="1:26" ht="15.75" customHeight="1">
      <c r="A6" s="13" t="s">
        <v>136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5"/>
      <c r="U6" s="5"/>
      <c r="V6" s="5"/>
      <c r="W6" s="5"/>
      <c r="X6" s="5"/>
      <c r="Y6" s="5"/>
      <c r="Z6" s="5"/>
    </row>
    <row r="7" spans="1:26" ht="15.75" customHeight="1">
      <c r="A7" s="13" t="s">
        <v>137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5"/>
      <c r="U7" s="5"/>
      <c r="V7" s="5"/>
      <c r="W7" s="5"/>
      <c r="X7" s="5"/>
      <c r="Y7" s="5"/>
      <c r="Z7" s="5"/>
    </row>
    <row r="8" spans="1:26" ht="15.75" customHeight="1">
      <c r="A8" s="13" t="s">
        <v>138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4"/>
      <c r="W8" s="5"/>
      <c r="X8" s="5"/>
      <c r="Y8" s="5"/>
      <c r="Z8" s="5"/>
    </row>
    <row r="9" spans="1:26" ht="15.75" customHeight="1">
      <c r="A9" s="13" t="s">
        <v>139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77" t="s">
        <v>140</v>
      </c>
      <c r="N9" s="288"/>
      <c r="O9" s="288"/>
      <c r="P9" s="15"/>
      <c r="Q9" s="15"/>
      <c r="R9" s="15"/>
      <c r="S9" s="15"/>
      <c r="T9" s="15"/>
      <c r="U9" s="15"/>
      <c r="V9" s="14"/>
      <c r="W9" s="5"/>
      <c r="X9" s="5"/>
      <c r="Y9" s="5"/>
      <c r="Z9" s="5"/>
    </row>
    <row r="10" spans="1:26" ht="15.75" customHeight="1">
      <c r="A10" s="13" t="s">
        <v>141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288"/>
      <c r="N10" s="288"/>
      <c r="O10" s="288"/>
      <c r="P10" s="13"/>
      <c r="Q10" s="13"/>
      <c r="R10" s="13"/>
      <c r="S10" s="13"/>
      <c r="T10" s="13"/>
      <c r="U10" s="13"/>
      <c r="V10" s="14"/>
      <c r="W10" s="5"/>
      <c r="X10" s="5"/>
      <c r="Y10" s="5"/>
      <c r="Z10" s="5"/>
    </row>
    <row r="11" spans="1:26" ht="17.25" customHeight="1">
      <c r="A11" s="33"/>
      <c r="B11" s="34" t="s">
        <v>142</v>
      </c>
      <c r="C11" s="52" t="s">
        <v>143</v>
      </c>
      <c r="D11" s="35"/>
      <c r="E11" s="37"/>
      <c r="F11" s="38"/>
      <c r="G11" s="38"/>
      <c r="H11" s="32"/>
      <c r="I11" s="32"/>
      <c r="J11" s="32"/>
      <c r="K11" s="32"/>
      <c r="L11" s="32"/>
      <c r="M11" s="39"/>
      <c r="N11" s="39"/>
      <c r="O11" s="39"/>
      <c r="P11" s="39"/>
      <c r="Q11" s="39"/>
      <c r="R11" s="52"/>
      <c r="S11" s="40"/>
      <c r="T11" s="39"/>
      <c r="U11" s="39"/>
      <c r="V11" s="39"/>
      <c r="W11" s="39"/>
      <c r="X11" s="39"/>
      <c r="Y11" s="39"/>
      <c r="Z11" s="39"/>
    </row>
    <row r="12" spans="1:26" ht="18.75" customHeight="1">
      <c r="A12" s="33"/>
      <c r="B12" s="39"/>
      <c r="C12" s="39"/>
      <c r="D12" s="36"/>
      <c r="E12" s="37"/>
      <c r="F12" s="38"/>
      <c r="G12" s="38"/>
      <c r="H12" s="32"/>
      <c r="I12" s="32"/>
      <c r="J12" s="32"/>
      <c r="K12" s="32"/>
      <c r="L12" s="32"/>
      <c r="M12" s="39"/>
      <c r="N12" s="39"/>
      <c r="O12" s="39"/>
      <c r="P12" s="39"/>
      <c r="Q12" s="39"/>
      <c r="R12" s="52"/>
      <c r="S12" s="40"/>
      <c r="T12" s="39"/>
      <c r="U12" s="39"/>
      <c r="V12" s="39"/>
      <c r="W12" s="39"/>
      <c r="X12" s="39"/>
      <c r="Y12" s="39"/>
      <c r="Z12" s="39"/>
    </row>
    <row r="13" spans="1:26" ht="15.75" customHeight="1">
      <c r="A13" s="41"/>
      <c r="B13" s="2"/>
      <c r="C13" s="2"/>
      <c r="D13" s="2"/>
      <c r="E13" s="2"/>
      <c r="F13" s="4"/>
      <c r="G13" s="4"/>
      <c r="H13" s="4"/>
      <c r="I13" s="4"/>
      <c r="J13" s="4"/>
      <c r="K13" s="4"/>
      <c r="L13" s="4"/>
      <c r="M13" s="2"/>
      <c r="N13" s="2"/>
      <c r="O13" s="2"/>
      <c r="P13" s="2"/>
      <c r="Q13" s="6"/>
      <c r="R13" s="52"/>
      <c r="S13" s="6"/>
      <c r="T13" s="6"/>
      <c r="U13" s="6"/>
      <c r="V13" s="6"/>
      <c r="W13" s="6"/>
      <c r="X13" s="6"/>
      <c r="Y13" s="6"/>
      <c r="Z13" s="6"/>
    </row>
    <row r="14" spans="1:26" ht="23.25" customHeight="1">
      <c r="A14" s="281" t="s">
        <v>144</v>
      </c>
      <c r="B14" s="282" t="s">
        <v>145</v>
      </c>
      <c r="C14" s="280" t="s">
        <v>146</v>
      </c>
      <c r="D14" s="289"/>
      <c r="E14" s="283" t="s">
        <v>147</v>
      </c>
      <c r="F14" s="284" t="s">
        <v>148</v>
      </c>
      <c r="G14" s="290"/>
      <c r="H14" s="42" t="s">
        <v>149</v>
      </c>
      <c r="I14" s="284" t="s">
        <v>150</v>
      </c>
      <c r="J14" s="290"/>
      <c r="K14" s="284" t="s">
        <v>151</v>
      </c>
      <c r="L14" s="290"/>
      <c r="M14" s="282" t="s">
        <v>152</v>
      </c>
      <c r="N14" s="285" t="s">
        <v>153</v>
      </c>
      <c r="O14" s="278" t="s">
        <v>154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>
      <c r="A15" s="291"/>
      <c r="B15" s="292"/>
      <c r="C15" s="293"/>
      <c r="D15" s="294"/>
      <c r="E15" s="292"/>
      <c r="F15" s="43" t="s">
        <v>155</v>
      </c>
      <c r="G15" s="43" t="s">
        <v>156</v>
      </c>
      <c r="H15" s="43" t="s">
        <v>157</v>
      </c>
      <c r="I15" s="43" t="s">
        <v>158</v>
      </c>
      <c r="J15" s="43" t="s">
        <v>159</v>
      </c>
      <c r="K15" s="43" t="s">
        <v>160</v>
      </c>
      <c r="L15" s="43" t="s">
        <v>161</v>
      </c>
      <c r="M15" s="292"/>
      <c r="N15" s="292"/>
      <c r="O15" s="29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.5" hidden="1" customHeight="1">
      <c r="A16" s="56">
        <v>1</v>
      </c>
      <c r="B16" s="18" t="s">
        <v>162</v>
      </c>
      <c r="C16" s="57" t="s">
        <v>163</v>
      </c>
      <c r="D16" s="58" t="s">
        <v>164</v>
      </c>
      <c r="E16" s="18" t="s">
        <v>165</v>
      </c>
      <c r="F16" s="59">
        <v>0.4</v>
      </c>
      <c r="G16" s="59">
        <v>0.5</v>
      </c>
      <c r="H16" s="59">
        <v>1.35</v>
      </c>
      <c r="I16" s="59">
        <v>1</v>
      </c>
      <c r="J16" s="59"/>
      <c r="K16" s="44">
        <v>0.2</v>
      </c>
      <c r="L16" s="44"/>
      <c r="M16" s="60"/>
      <c r="N16" s="45">
        <f t="shared" ref="N16:N71" si="0">SUM(F16:L16)-M16</f>
        <v>3.45</v>
      </c>
      <c r="O16" s="61">
        <f t="shared" ref="O16:O71" si="1">IF(N16&gt;10,10,ROUND(N16,0))</f>
        <v>3</v>
      </c>
      <c r="P16" s="6"/>
      <c r="Q16" s="6"/>
      <c r="R16" s="6"/>
      <c r="S16" s="48"/>
      <c r="T16" s="6"/>
      <c r="U16" s="6"/>
      <c r="V16" s="6"/>
      <c r="W16" s="6"/>
      <c r="X16" s="6"/>
      <c r="Y16" s="6"/>
      <c r="Z16" s="6"/>
    </row>
    <row r="17" spans="1:26" ht="22.5" hidden="1" customHeight="1">
      <c r="A17" s="25">
        <v>2</v>
      </c>
      <c r="B17" s="21" t="s">
        <v>166</v>
      </c>
      <c r="C17" s="62" t="s">
        <v>167</v>
      </c>
      <c r="D17" s="63" t="s">
        <v>168</v>
      </c>
      <c r="E17" s="21" t="s">
        <v>169</v>
      </c>
      <c r="F17" s="47">
        <v>0.3</v>
      </c>
      <c r="G17" s="47">
        <v>0.5</v>
      </c>
      <c r="H17" s="47">
        <v>0.9</v>
      </c>
      <c r="I17" s="47">
        <v>1.5</v>
      </c>
      <c r="J17" s="47">
        <v>0.8</v>
      </c>
      <c r="K17" s="194"/>
      <c r="L17" s="194"/>
      <c r="M17" s="64"/>
      <c r="N17" s="46">
        <f t="shared" si="0"/>
        <v>4</v>
      </c>
      <c r="O17" s="65">
        <f t="shared" si="1"/>
        <v>4</v>
      </c>
      <c r="P17" s="6"/>
      <c r="Q17" s="6"/>
      <c r="R17" s="6"/>
      <c r="S17" s="48"/>
      <c r="T17" s="6"/>
      <c r="U17" s="6"/>
      <c r="V17" s="6"/>
      <c r="W17" s="6"/>
      <c r="X17" s="6"/>
      <c r="Y17" s="6"/>
      <c r="Z17" s="6"/>
    </row>
    <row r="18" spans="1:26" ht="22.5" hidden="1" customHeight="1">
      <c r="A18" s="25">
        <v>3</v>
      </c>
      <c r="B18" s="21" t="s">
        <v>170</v>
      </c>
      <c r="C18" s="62" t="s">
        <v>171</v>
      </c>
      <c r="D18" s="63" t="s">
        <v>172</v>
      </c>
      <c r="E18" s="21" t="s">
        <v>173</v>
      </c>
      <c r="F18" s="47">
        <v>0.3</v>
      </c>
      <c r="G18" s="47">
        <v>0.5</v>
      </c>
      <c r="H18" s="47">
        <v>1.35</v>
      </c>
      <c r="I18" s="47">
        <v>1.25</v>
      </c>
      <c r="J18" s="47">
        <v>2.5</v>
      </c>
      <c r="K18" s="47"/>
      <c r="L18" s="47"/>
      <c r="M18" s="64"/>
      <c r="N18" s="46">
        <f t="shared" si="0"/>
        <v>5.9</v>
      </c>
      <c r="O18" s="65">
        <f t="shared" si="1"/>
        <v>6</v>
      </c>
      <c r="P18" s="6"/>
      <c r="Q18" s="6"/>
      <c r="R18" s="6"/>
      <c r="S18" s="48"/>
      <c r="T18" s="6"/>
      <c r="U18" s="6"/>
      <c r="V18" s="6"/>
      <c r="W18" s="6"/>
      <c r="X18" s="6"/>
      <c r="Y18" s="6"/>
      <c r="Z18" s="6"/>
    </row>
    <row r="19" spans="1:26" ht="22.5" hidden="1" customHeight="1">
      <c r="A19" s="25">
        <v>4</v>
      </c>
      <c r="B19" s="21" t="s">
        <v>174</v>
      </c>
      <c r="C19" s="62" t="s">
        <v>175</v>
      </c>
      <c r="D19" s="63" t="s">
        <v>176</v>
      </c>
      <c r="E19" s="21" t="s">
        <v>177</v>
      </c>
      <c r="F19" s="47">
        <v>0.2</v>
      </c>
      <c r="G19" s="47"/>
      <c r="H19" s="47">
        <v>1.2</v>
      </c>
      <c r="I19" s="47">
        <v>1.25</v>
      </c>
      <c r="J19" s="47">
        <v>1.6</v>
      </c>
      <c r="K19" s="47">
        <v>0.4</v>
      </c>
      <c r="L19" s="47"/>
      <c r="M19" s="64"/>
      <c r="N19" s="46">
        <f t="shared" si="0"/>
        <v>4.6500000000000004</v>
      </c>
      <c r="O19" s="65">
        <f t="shared" si="1"/>
        <v>5</v>
      </c>
      <c r="P19" s="6"/>
      <c r="Q19" s="6"/>
      <c r="R19" s="6"/>
      <c r="S19" s="48"/>
      <c r="T19" s="6"/>
      <c r="U19" s="6"/>
      <c r="V19" s="6"/>
      <c r="W19" s="6"/>
      <c r="X19" s="6"/>
      <c r="Y19" s="6"/>
      <c r="Z19" s="6"/>
    </row>
    <row r="20" spans="1:26" ht="22.5" hidden="1" customHeight="1">
      <c r="A20" s="25">
        <v>5</v>
      </c>
      <c r="B20" s="21" t="s">
        <v>178</v>
      </c>
      <c r="C20" s="62" t="s">
        <v>179</v>
      </c>
      <c r="D20" s="63" t="s">
        <v>180</v>
      </c>
      <c r="E20" s="21" t="s">
        <v>181</v>
      </c>
      <c r="F20" s="47">
        <v>0.2</v>
      </c>
      <c r="G20" s="47">
        <v>0.25</v>
      </c>
      <c r="H20" s="47"/>
      <c r="I20" s="47">
        <v>1</v>
      </c>
      <c r="J20" s="47">
        <v>1.6</v>
      </c>
      <c r="K20" s="47">
        <v>0.5</v>
      </c>
      <c r="L20" s="47"/>
      <c r="M20" s="64"/>
      <c r="N20" s="46">
        <f t="shared" si="0"/>
        <v>3.55</v>
      </c>
      <c r="O20" s="65">
        <f t="shared" si="1"/>
        <v>4</v>
      </c>
      <c r="P20" s="50"/>
      <c r="Q20" s="48"/>
      <c r="R20" s="48"/>
      <c r="S20" s="48"/>
      <c r="T20" s="6"/>
      <c r="U20" s="6"/>
      <c r="V20" s="6"/>
      <c r="W20" s="6"/>
      <c r="X20" s="6"/>
      <c r="Y20" s="6"/>
      <c r="Z20" s="6"/>
    </row>
    <row r="21" spans="1:26" ht="22.5" hidden="1" customHeight="1">
      <c r="A21" s="26">
        <v>6</v>
      </c>
      <c r="B21" s="195" t="s">
        <v>182</v>
      </c>
      <c r="C21" s="196" t="s">
        <v>183</v>
      </c>
      <c r="D21" s="197" t="s">
        <v>184</v>
      </c>
      <c r="E21" s="195" t="s">
        <v>185</v>
      </c>
      <c r="F21" s="198"/>
      <c r="G21" s="198"/>
      <c r="H21" s="198"/>
      <c r="I21" s="198"/>
      <c r="J21" s="198"/>
      <c r="K21" s="198"/>
      <c r="L21" s="198"/>
      <c r="M21" s="66"/>
      <c r="N21" s="199">
        <f t="shared" si="0"/>
        <v>0</v>
      </c>
      <c r="O21" s="67">
        <f t="shared" si="1"/>
        <v>0</v>
      </c>
      <c r="P21" s="6"/>
      <c r="Q21" s="6"/>
      <c r="R21" s="6"/>
      <c r="S21" s="6"/>
      <c r="T21" s="51"/>
      <c r="U21" s="6"/>
      <c r="V21" s="6"/>
      <c r="W21" s="6"/>
      <c r="X21" s="6"/>
      <c r="Y21" s="6"/>
      <c r="Z21" s="6"/>
    </row>
    <row r="22" spans="1:26" ht="22.5" customHeight="1">
      <c r="A22" s="56">
        <v>7</v>
      </c>
      <c r="B22" s="18" t="s">
        <v>186</v>
      </c>
      <c r="C22" s="57" t="s">
        <v>187</v>
      </c>
      <c r="D22" s="58" t="s">
        <v>184</v>
      </c>
      <c r="E22" s="18" t="s">
        <v>188</v>
      </c>
      <c r="F22" s="44">
        <v>0</v>
      </c>
      <c r="G22" s="44">
        <v>0</v>
      </c>
      <c r="H22" s="44">
        <v>1.2</v>
      </c>
      <c r="I22" s="44">
        <v>1</v>
      </c>
      <c r="J22" s="44">
        <v>0</v>
      </c>
      <c r="K22" s="44">
        <v>1.5</v>
      </c>
      <c r="L22" s="44">
        <v>0</v>
      </c>
      <c r="M22" s="60"/>
      <c r="N22" s="45">
        <f t="shared" si="0"/>
        <v>3.7</v>
      </c>
      <c r="O22" s="61">
        <f t="shared" si="1"/>
        <v>4</v>
      </c>
      <c r="P22" s="6"/>
      <c r="Q22" s="6"/>
      <c r="R22" s="6"/>
      <c r="S22" s="6"/>
      <c r="T22" s="52"/>
      <c r="U22" s="6"/>
      <c r="V22" s="6"/>
      <c r="W22" s="6"/>
      <c r="X22" s="6"/>
      <c r="Y22" s="6"/>
      <c r="Z22" s="6"/>
    </row>
    <row r="23" spans="1:26" ht="22.5" hidden="1" customHeight="1">
      <c r="A23" s="25">
        <v>8</v>
      </c>
      <c r="B23" s="21" t="s">
        <v>189</v>
      </c>
      <c r="C23" s="62" t="s">
        <v>190</v>
      </c>
      <c r="D23" s="63" t="s">
        <v>184</v>
      </c>
      <c r="E23" s="21" t="s">
        <v>191</v>
      </c>
      <c r="F23" s="47"/>
      <c r="G23" s="47"/>
      <c r="H23" s="47"/>
      <c r="I23" s="47"/>
      <c r="J23" s="47"/>
      <c r="K23" s="47"/>
      <c r="L23" s="47">
        <v>0.3</v>
      </c>
      <c r="M23" s="64"/>
      <c r="N23" s="46">
        <f t="shared" si="0"/>
        <v>0.3</v>
      </c>
      <c r="O23" s="65">
        <f t="shared" si="1"/>
        <v>0</v>
      </c>
      <c r="P23" s="6"/>
      <c r="Q23" s="6"/>
      <c r="R23" s="6"/>
      <c r="S23" s="6"/>
      <c r="T23" s="52"/>
      <c r="U23" s="6"/>
      <c r="V23" s="6"/>
      <c r="W23" s="6"/>
      <c r="X23" s="6"/>
      <c r="Y23" s="6"/>
      <c r="Z23" s="6"/>
    </row>
    <row r="24" spans="1:26" ht="22.5" hidden="1" customHeight="1">
      <c r="A24" s="25">
        <v>9</v>
      </c>
      <c r="B24" s="21" t="s">
        <v>192</v>
      </c>
      <c r="C24" s="62" t="s">
        <v>193</v>
      </c>
      <c r="D24" s="63" t="s">
        <v>194</v>
      </c>
      <c r="E24" s="21" t="s">
        <v>195</v>
      </c>
      <c r="F24" s="47"/>
      <c r="G24" s="47"/>
      <c r="H24" s="47"/>
      <c r="I24" s="47"/>
      <c r="J24" s="47"/>
      <c r="K24" s="47"/>
      <c r="L24" s="47">
        <v>0.3</v>
      </c>
      <c r="M24" s="64"/>
      <c r="N24" s="46">
        <f t="shared" si="0"/>
        <v>0.3</v>
      </c>
      <c r="O24" s="65">
        <f t="shared" si="1"/>
        <v>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2.5" hidden="1" customHeight="1">
      <c r="A25" s="25">
        <v>10</v>
      </c>
      <c r="B25" s="21" t="s">
        <v>196</v>
      </c>
      <c r="C25" s="62" t="s">
        <v>197</v>
      </c>
      <c r="D25" s="63" t="s">
        <v>198</v>
      </c>
      <c r="E25" s="21" t="s">
        <v>199</v>
      </c>
      <c r="F25" s="47"/>
      <c r="G25" s="47"/>
      <c r="H25" s="47"/>
      <c r="I25" s="47"/>
      <c r="J25" s="47"/>
      <c r="K25" s="47"/>
      <c r="L25" s="47"/>
      <c r="M25" s="64"/>
      <c r="N25" s="46">
        <f t="shared" si="0"/>
        <v>0</v>
      </c>
      <c r="O25" s="65">
        <f t="shared" si="1"/>
        <v>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2.5" hidden="1" customHeight="1">
      <c r="A26" s="25">
        <v>11</v>
      </c>
      <c r="B26" s="21" t="s">
        <v>200</v>
      </c>
      <c r="C26" s="62" t="s">
        <v>201</v>
      </c>
      <c r="D26" s="63" t="s">
        <v>202</v>
      </c>
      <c r="E26" s="21" t="s">
        <v>203</v>
      </c>
      <c r="F26" s="47"/>
      <c r="G26" s="47"/>
      <c r="H26" s="47"/>
      <c r="I26" s="47"/>
      <c r="J26" s="47"/>
      <c r="K26" s="47"/>
      <c r="L26" s="47"/>
      <c r="M26" s="64"/>
      <c r="N26" s="46">
        <f t="shared" si="0"/>
        <v>0</v>
      </c>
      <c r="O26" s="65">
        <f t="shared" si="1"/>
        <v>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.5" hidden="1" customHeight="1">
      <c r="A27" s="25">
        <v>12</v>
      </c>
      <c r="B27" s="21" t="s">
        <v>204</v>
      </c>
      <c r="C27" s="62" t="s">
        <v>205</v>
      </c>
      <c r="D27" s="63" t="s">
        <v>202</v>
      </c>
      <c r="E27" s="21" t="s">
        <v>206</v>
      </c>
      <c r="F27" s="47"/>
      <c r="G27" s="47"/>
      <c r="H27" s="47"/>
      <c r="I27" s="47"/>
      <c r="J27" s="47"/>
      <c r="K27" s="47"/>
      <c r="L27" s="47"/>
      <c r="M27" s="64"/>
      <c r="N27" s="46">
        <f t="shared" si="0"/>
        <v>0</v>
      </c>
      <c r="O27" s="65">
        <f t="shared" si="1"/>
        <v>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2.5" hidden="1" customHeight="1">
      <c r="A28" s="25">
        <v>13</v>
      </c>
      <c r="B28" s="21" t="s">
        <v>207</v>
      </c>
      <c r="C28" s="62" t="s">
        <v>208</v>
      </c>
      <c r="D28" s="63" t="s">
        <v>209</v>
      </c>
      <c r="E28" s="21" t="s">
        <v>210</v>
      </c>
      <c r="F28" s="47"/>
      <c r="G28" s="47"/>
      <c r="H28" s="47"/>
      <c r="I28" s="47"/>
      <c r="J28" s="47"/>
      <c r="K28" s="47"/>
      <c r="L28" s="47"/>
      <c r="M28" s="64"/>
      <c r="N28" s="46">
        <f t="shared" si="0"/>
        <v>0</v>
      </c>
      <c r="O28" s="65">
        <f t="shared" si="1"/>
        <v>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.5" hidden="1" customHeight="1">
      <c r="A29" s="25">
        <v>14</v>
      </c>
      <c r="B29" s="21" t="s">
        <v>211</v>
      </c>
      <c r="C29" s="62" t="s">
        <v>212</v>
      </c>
      <c r="D29" s="63" t="s">
        <v>213</v>
      </c>
      <c r="E29" s="21" t="s">
        <v>214</v>
      </c>
      <c r="F29" s="47"/>
      <c r="G29" s="47"/>
      <c r="H29" s="47"/>
      <c r="I29" s="47"/>
      <c r="J29" s="47"/>
      <c r="K29" s="47"/>
      <c r="L29" s="47"/>
      <c r="M29" s="64"/>
      <c r="N29" s="46">
        <f t="shared" si="0"/>
        <v>0</v>
      </c>
      <c r="O29" s="65">
        <f t="shared" si="1"/>
        <v>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2.5" hidden="1" customHeight="1">
      <c r="A30" s="25">
        <v>15</v>
      </c>
      <c r="B30" s="21" t="s">
        <v>215</v>
      </c>
      <c r="C30" s="62" t="s">
        <v>216</v>
      </c>
      <c r="D30" s="63" t="s">
        <v>217</v>
      </c>
      <c r="E30" s="21" t="s">
        <v>218</v>
      </c>
      <c r="F30" s="47"/>
      <c r="G30" s="47"/>
      <c r="H30" s="47"/>
      <c r="I30" s="47"/>
      <c r="J30" s="47"/>
      <c r="K30" s="47"/>
      <c r="L30" s="47">
        <v>0.3</v>
      </c>
      <c r="M30" s="64"/>
      <c r="N30" s="46">
        <f t="shared" si="0"/>
        <v>0.3</v>
      </c>
      <c r="O30" s="65">
        <f t="shared" si="1"/>
        <v>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2.5" hidden="1" customHeight="1">
      <c r="A31" s="25">
        <v>16</v>
      </c>
      <c r="B31" s="21" t="s">
        <v>219</v>
      </c>
      <c r="C31" s="62" t="s">
        <v>220</v>
      </c>
      <c r="D31" s="63" t="s">
        <v>221</v>
      </c>
      <c r="E31" s="21" t="s">
        <v>222</v>
      </c>
      <c r="F31" s="47"/>
      <c r="G31" s="47"/>
      <c r="H31" s="47"/>
      <c r="I31" s="47"/>
      <c r="J31" s="47"/>
      <c r="K31" s="47"/>
      <c r="L31" s="47"/>
      <c r="M31" s="64"/>
      <c r="N31" s="46">
        <f t="shared" si="0"/>
        <v>0</v>
      </c>
      <c r="O31" s="65">
        <f t="shared" si="1"/>
        <v>0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.5" hidden="1" customHeight="1">
      <c r="A32" s="25">
        <v>17</v>
      </c>
      <c r="B32" s="21" t="s">
        <v>223</v>
      </c>
      <c r="C32" s="62" t="s">
        <v>224</v>
      </c>
      <c r="D32" s="63" t="s">
        <v>225</v>
      </c>
      <c r="E32" s="21" t="s">
        <v>226</v>
      </c>
      <c r="F32" s="47"/>
      <c r="G32" s="47"/>
      <c r="H32" s="47"/>
      <c r="I32" s="47"/>
      <c r="J32" s="47"/>
      <c r="K32" s="47"/>
      <c r="L32" s="47">
        <v>0.3</v>
      </c>
      <c r="M32" s="64"/>
      <c r="N32" s="46">
        <f t="shared" si="0"/>
        <v>0.3</v>
      </c>
      <c r="O32" s="65">
        <f t="shared" si="1"/>
        <v>0</v>
      </c>
      <c r="P32" s="53"/>
      <c r="Q32" s="49"/>
      <c r="R32" s="6"/>
      <c r="S32" s="6"/>
      <c r="T32" s="6"/>
      <c r="U32" s="6"/>
      <c r="V32" s="6"/>
      <c r="W32" s="6"/>
      <c r="X32" s="6"/>
      <c r="Y32" s="6"/>
      <c r="Z32" s="6"/>
    </row>
    <row r="33" spans="1:26" ht="22.5" hidden="1" customHeight="1">
      <c r="A33" s="25">
        <v>18</v>
      </c>
      <c r="B33" s="21" t="s">
        <v>227</v>
      </c>
      <c r="C33" s="62" t="s">
        <v>228</v>
      </c>
      <c r="D33" s="63" t="s">
        <v>229</v>
      </c>
      <c r="E33" s="21" t="s">
        <v>230</v>
      </c>
      <c r="F33" s="47"/>
      <c r="G33" s="47"/>
      <c r="H33" s="47"/>
      <c r="I33" s="47"/>
      <c r="J33" s="47"/>
      <c r="K33" s="47"/>
      <c r="L33" s="47"/>
      <c r="M33" s="64"/>
      <c r="N33" s="46">
        <f t="shared" si="0"/>
        <v>0</v>
      </c>
      <c r="O33" s="65">
        <f t="shared" si="1"/>
        <v>0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2.5" hidden="1" customHeight="1">
      <c r="A34" s="25">
        <v>19</v>
      </c>
      <c r="B34" s="21" t="s">
        <v>231</v>
      </c>
      <c r="C34" s="62" t="s">
        <v>232</v>
      </c>
      <c r="D34" s="63" t="s">
        <v>233</v>
      </c>
      <c r="E34" s="21" t="s">
        <v>234</v>
      </c>
      <c r="F34" s="47"/>
      <c r="G34" s="47"/>
      <c r="H34" s="47"/>
      <c r="I34" s="47"/>
      <c r="J34" s="47"/>
      <c r="K34" s="47"/>
      <c r="L34" s="47"/>
      <c r="M34" s="64"/>
      <c r="N34" s="46">
        <f t="shared" si="0"/>
        <v>0</v>
      </c>
      <c r="O34" s="65">
        <f t="shared" si="1"/>
        <v>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2.5" hidden="1" customHeight="1">
      <c r="A35" s="25">
        <v>20</v>
      </c>
      <c r="B35" s="21" t="s">
        <v>235</v>
      </c>
      <c r="C35" s="62" t="s">
        <v>236</v>
      </c>
      <c r="D35" s="63" t="s">
        <v>237</v>
      </c>
      <c r="E35" s="21" t="s">
        <v>165</v>
      </c>
      <c r="F35" s="47"/>
      <c r="G35" s="47"/>
      <c r="H35" s="47"/>
      <c r="I35" s="47"/>
      <c r="J35" s="47"/>
      <c r="K35" s="47"/>
      <c r="L35" s="47"/>
      <c r="M35" s="64"/>
      <c r="N35" s="46">
        <f t="shared" si="0"/>
        <v>0</v>
      </c>
      <c r="O35" s="65">
        <f t="shared" si="1"/>
        <v>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2.5" hidden="1" customHeight="1">
      <c r="A36" s="25">
        <v>21</v>
      </c>
      <c r="B36" s="21" t="s">
        <v>238</v>
      </c>
      <c r="C36" s="62" t="s">
        <v>239</v>
      </c>
      <c r="D36" s="63" t="s">
        <v>240</v>
      </c>
      <c r="E36" s="21" t="s">
        <v>241</v>
      </c>
      <c r="F36" s="47"/>
      <c r="G36" s="47"/>
      <c r="H36" s="47"/>
      <c r="I36" s="47"/>
      <c r="J36" s="47"/>
      <c r="K36" s="47"/>
      <c r="L36" s="47">
        <v>0.3</v>
      </c>
      <c r="M36" s="64"/>
      <c r="N36" s="46">
        <f t="shared" si="0"/>
        <v>0.3</v>
      </c>
      <c r="O36" s="65">
        <f t="shared" si="1"/>
        <v>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2.5" hidden="1" customHeight="1">
      <c r="A37" s="25">
        <v>22</v>
      </c>
      <c r="B37" s="21" t="s">
        <v>242</v>
      </c>
      <c r="C37" s="62" t="s">
        <v>243</v>
      </c>
      <c r="D37" s="63" t="s">
        <v>244</v>
      </c>
      <c r="E37" s="21" t="s">
        <v>245</v>
      </c>
      <c r="F37" s="47"/>
      <c r="G37" s="47"/>
      <c r="H37" s="47"/>
      <c r="I37" s="47"/>
      <c r="J37" s="47"/>
      <c r="K37" s="47"/>
      <c r="L37" s="47"/>
      <c r="M37" s="64"/>
      <c r="N37" s="46">
        <f t="shared" si="0"/>
        <v>0</v>
      </c>
      <c r="O37" s="65">
        <f t="shared" si="1"/>
        <v>0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2.5" hidden="1" customHeight="1">
      <c r="A38" s="25">
        <v>23</v>
      </c>
      <c r="B38" s="21" t="s">
        <v>246</v>
      </c>
      <c r="C38" s="62" t="s">
        <v>247</v>
      </c>
      <c r="D38" s="63" t="s">
        <v>248</v>
      </c>
      <c r="E38" s="21" t="s">
        <v>249</v>
      </c>
      <c r="F38" s="47"/>
      <c r="G38" s="47"/>
      <c r="H38" s="47"/>
      <c r="I38" s="47"/>
      <c r="J38" s="47"/>
      <c r="K38" s="47"/>
      <c r="L38" s="47">
        <v>0.5</v>
      </c>
      <c r="M38" s="64"/>
      <c r="N38" s="46">
        <f t="shared" si="0"/>
        <v>0.5</v>
      </c>
      <c r="O38" s="65">
        <f t="shared" si="1"/>
        <v>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.5" hidden="1" customHeight="1">
      <c r="A39" s="25">
        <v>24</v>
      </c>
      <c r="B39" s="21" t="s">
        <v>250</v>
      </c>
      <c r="C39" s="62" t="s">
        <v>251</v>
      </c>
      <c r="D39" s="63" t="s">
        <v>252</v>
      </c>
      <c r="E39" s="21" t="s">
        <v>253</v>
      </c>
      <c r="F39" s="47"/>
      <c r="G39" s="47"/>
      <c r="H39" s="47"/>
      <c r="I39" s="47"/>
      <c r="J39" s="47"/>
      <c r="K39" s="47"/>
      <c r="L39" s="47"/>
      <c r="M39" s="64"/>
      <c r="N39" s="46">
        <f t="shared" si="0"/>
        <v>0</v>
      </c>
      <c r="O39" s="65">
        <f t="shared" si="1"/>
        <v>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2.5" hidden="1" customHeight="1">
      <c r="A40" s="25">
        <v>25</v>
      </c>
      <c r="B40" s="21" t="s">
        <v>254</v>
      </c>
      <c r="C40" s="62" t="s">
        <v>255</v>
      </c>
      <c r="D40" s="63" t="s">
        <v>252</v>
      </c>
      <c r="E40" s="21" t="s">
        <v>256</v>
      </c>
      <c r="F40" s="47"/>
      <c r="G40" s="47"/>
      <c r="H40" s="47"/>
      <c r="I40" s="47"/>
      <c r="J40" s="47"/>
      <c r="K40" s="47"/>
      <c r="L40" s="47">
        <v>0.3</v>
      </c>
      <c r="M40" s="64"/>
      <c r="N40" s="46">
        <f t="shared" si="0"/>
        <v>0.3</v>
      </c>
      <c r="O40" s="65">
        <f t="shared" si="1"/>
        <v>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2.5" hidden="1" customHeight="1">
      <c r="A41" s="25">
        <v>26</v>
      </c>
      <c r="B41" s="21" t="s">
        <v>257</v>
      </c>
      <c r="C41" s="62" t="s">
        <v>258</v>
      </c>
      <c r="D41" s="63" t="s">
        <v>259</v>
      </c>
      <c r="E41" s="21" t="s">
        <v>260</v>
      </c>
      <c r="F41" s="47"/>
      <c r="G41" s="47"/>
      <c r="H41" s="47"/>
      <c r="I41" s="47"/>
      <c r="J41" s="47"/>
      <c r="K41" s="47"/>
      <c r="L41" s="47">
        <v>0.2</v>
      </c>
      <c r="M41" s="64"/>
      <c r="N41" s="46">
        <f t="shared" si="0"/>
        <v>0.2</v>
      </c>
      <c r="O41" s="65">
        <f t="shared" si="1"/>
        <v>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2.5" hidden="1" customHeight="1">
      <c r="A42" s="25">
        <v>27</v>
      </c>
      <c r="B42" s="21" t="s">
        <v>261</v>
      </c>
      <c r="C42" s="62" t="s">
        <v>262</v>
      </c>
      <c r="D42" s="63" t="s">
        <v>263</v>
      </c>
      <c r="E42" s="21" t="s">
        <v>264</v>
      </c>
      <c r="F42" s="47"/>
      <c r="G42" s="47"/>
      <c r="H42" s="47"/>
      <c r="I42" s="47"/>
      <c r="J42" s="47"/>
      <c r="K42" s="47"/>
      <c r="L42" s="47">
        <v>0.7</v>
      </c>
      <c r="M42" s="64"/>
      <c r="N42" s="46">
        <f t="shared" si="0"/>
        <v>0.7</v>
      </c>
      <c r="O42" s="65">
        <f t="shared" si="1"/>
        <v>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2.5" hidden="1" customHeight="1">
      <c r="A43" s="25">
        <v>28</v>
      </c>
      <c r="B43" s="21" t="s">
        <v>265</v>
      </c>
      <c r="C43" s="62" t="s">
        <v>266</v>
      </c>
      <c r="D43" s="63" t="s">
        <v>267</v>
      </c>
      <c r="E43" s="21" t="s">
        <v>268</v>
      </c>
      <c r="F43" s="47"/>
      <c r="G43" s="47"/>
      <c r="H43" s="47"/>
      <c r="I43" s="47"/>
      <c r="J43" s="47"/>
      <c r="K43" s="47"/>
      <c r="L43" s="47"/>
      <c r="M43" s="64"/>
      <c r="N43" s="46">
        <f t="shared" si="0"/>
        <v>0</v>
      </c>
      <c r="O43" s="65">
        <f t="shared" si="1"/>
        <v>0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2.5" customHeight="1">
      <c r="A44" s="25">
        <v>29</v>
      </c>
      <c r="B44" s="21" t="s">
        <v>269</v>
      </c>
      <c r="C44" s="62" t="s">
        <v>270</v>
      </c>
      <c r="D44" s="63" t="s">
        <v>267</v>
      </c>
      <c r="E44" s="21" t="s">
        <v>271</v>
      </c>
      <c r="F44" s="47">
        <v>0</v>
      </c>
      <c r="G44" s="47">
        <v>0</v>
      </c>
      <c r="H44" s="47">
        <v>1.35</v>
      </c>
      <c r="I44" s="47">
        <v>1.5</v>
      </c>
      <c r="J44" s="47">
        <v>1.4</v>
      </c>
      <c r="K44" s="47">
        <v>1.5</v>
      </c>
      <c r="L44" s="47">
        <v>0</v>
      </c>
      <c r="M44" s="64"/>
      <c r="N44" s="46">
        <f t="shared" si="0"/>
        <v>5.75</v>
      </c>
      <c r="O44" s="65">
        <f t="shared" si="1"/>
        <v>6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2.5" hidden="1" customHeight="1">
      <c r="A45" s="25">
        <v>30</v>
      </c>
      <c r="B45" s="21" t="s">
        <v>272</v>
      </c>
      <c r="C45" s="62" t="s">
        <v>273</v>
      </c>
      <c r="D45" s="63" t="s">
        <v>274</v>
      </c>
      <c r="E45" s="21" t="s">
        <v>275</v>
      </c>
      <c r="F45" s="47"/>
      <c r="G45" s="47"/>
      <c r="H45" s="47"/>
      <c r="I45" s="47"/>
      <c r="J45" s="47"/>
      <c r="K45" s="47"/>
      <c r="L45" s="47"/>
      <c r="M45" s="64"/>
      <c r="N45" s="46">
        <f t="shared" si="0"/>
        <v>0</v>
      </c>
      <c r="O45" s="65">
        <f t="shared" si="1"/>
        <v>0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2.5" hidden="1" customHeight="1">
      <c r="A46" s="25">
        <v>31</v>
      </c>
      <c r="B46" s="21" t="s">
        <v>276</v>
      </c>
      <c r="C46" s="62" t="s">
        <v>277</v>
      </c>
      <c r="D46" s="63" t="s">
        <v>274</v>
      </c>
      <c r="E46" s="21" t="s">
        <v>278</v>
      </c>
      <c r="F46" s="47"/>
      <c r="G46" s="47"/>
      <c r="H46" s="47"/>
      <c r="I46" s="47"/>
      <c r="J46" s="47"/>
      <c r="K46" s="47"/>
      <c r="L46" s="47">
        <v>0.3</v>
      </c>
      <c r="M46" s="64"/>
      <c r="N46" s="46">
        <f t="shared" si="0"/>
        <v>0.3</v>
      </c>
      <c r="O46" s="65">
        <f t="shared" si="1"/>
        <v>0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2.5" hidden="1" customHeight="1">
      <c r="A47" s="25">
        <v>32</v>
      </c>
      <c r="B47" s="21" t="s">
        <v>279</v>
      </c>
      <c r="C47" s="62" t="s">
        <v>280</v>
      </c>
      <c r="D47" s="63" t="s">
        <v>281</v>
      </c>
      <c r="E47" s="21" t="s">
        <v>282</v>
      </c>
      <c r="F47" s="47"/>
      <c r="G47" s="47"/>
      <c r="H47" s="47"/>
      <c r="I47" s="47"/>
      <c r="J47" s="47"/>
      <c r="K47" s="47"/>
      <c r="L47" s="47">
        <v>0.3</v>
      </c>
      <c r="M47" s="64"/>
      <c r="N47" s="46">
        <f t="shared" si="0"/>
        <v>0.3</v>
      </c>
      <c r="O47" s="65">
        <f t="shared" si="1"/>
        <v>0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2.5" hidden="1" customHeight="1">
      <c r="A48" s="25">
        <v>33</v>
      </c>
      <c r="B48" s="21" t="s">
        <v>283</v>
      </c>
      <c r="C48" s="62" t="s">
        <v>284</v>
      </c>
      <c r="D48" s="63" t="s">
        <v>285</v>
      </c>
      <c r="E48" s="21" t="s">
        <v>286</v>
      </c>
      <c r="F48" s="47"/>
      <c r="G48" s="47"/>
      <c r="H48" s="47"/>
      <c r="I48" s="47"/>
      <c r="J48" s="47"/>
      <c r="K48" s="47"/>
      <c r="L48" s="47"/>
      <c r="M48" s="64"/>
      <c r="N48" s="46">
        <f t="shared" si="0"/>
        <v>0</v>
      </c>
      <c r="O48" s="65">
        <f t="shared" si="1"/>
        <v>0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2.5" hidden="1" customHeight="1">
      <c r="A49" s="25">
        <v>34</v>
      </c>
      <c r="B49" s="21" t="s">
        <v>287</v>
      </c>
      <c r="C49" s="62" t="s">
        <v>288</v>
      </c>
      <c r="D49" s="63" t="s">
        <v>289</v>
      </c>
      <c r="E49" s="21" t="s">
        <v>290</v>
      </c>
      <c r="F49" s="47"/>
      <c r="G49" s="47"/>
      <c r="H49" s="47"/>
      <c r="I49" s="47"/>
      <c r="J49" s="47"/>
      <c r="K49" s="47"/>
      <c r="L49" s="47">
        <v>0.9</v>
      </c>
      <c r="M49" s="64"/>
      <c r="N49" s="46">
        <f t="shared" si="0"/>
        <v>0.9</v>
      </c>
      <c r="O49" s="65">
        <f t="shared" si="1"/>
        <v>1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2.5" hidden="1" customHeight="1">
      <c r="A50" s="25">
        <v>35</v>
      </c>
      <c r="B50" s="21" t="s">
        <v>291</v>
      </c>
      <c r="C50" s="62" t="s">
        <v>292</v>
      </c>
      <c r="D50" s="63" t="s">
        <v>293</v>
      </c>
      <c r="E50" s="21" t="s">
        <v>294</v>
      </c>
      <c r="F50" s="47"/>
      <c r="G50" s="47"/>
      <c r="H50" s="47"/>
      <c r="I50" s="47"/>
      <c r="J50" s="47"/>
      <c r="K50" s="47"/>
      <c r="L50" s="47">
        <v>0.4</v>
      </c>
      <c r="M50" s="66"/>
      <c r="N50" s="199">
        <f t="shared" si="0"/>
        <v>0.4</v>
      </c>
      <c r="O50" s="65">
        <f t="shared" si="1"/>
        <v>0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2.5" hidden="1" customHeight="1">
      <c r="A51" s="25">
        <v>36</v>
      </c>
      <c r="B51" s="21" t="s">
        <v>295</v>
      </c>
      <c r="C51" s="62" t="s">
        <v>296</v>
      </c>
      <c r="D51" s="63" t="s">
        <v>297</v>
      </c>
      <c r="E51" s="21" t="s">
        <v>298</v>
      </c>
      <c r="F51" s="47"/>
      <c r="G51" s="47"/>
      <c r="H51" s="47"/>
      <c r="I51" s="47"/>
      <c r="J51" s="47"/>
      <c r="K51" s="47"/>
      <c r="L51" s="47"/>
      <c r="M51" s="64"/>
      <c r="N51" s="46">
        <f t="shared" si="0"/>
        <v>0</v>
      </c>
      <c r="O51" s="65">
        <f t="shared" si="1"/>
        <v>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2.5" hidden="1" customHeight="1">
      <c r="A52" s="25">
        <v>37</v>
      </c>
      <c r="B52" s="21" t="s">
        <v>299</v>
      </c>
      <c r="C52" s="62" t="s">
        <v>300</v>
      </c>
      <c r="D52" s="63" t="s">
        <v>301</v>
      </c>
      <c r="E52" s="21" t="s">
        <v>302</v>
      </c>
      <c r="F52" s="47"/>
      <c r="G52" s="47"/>
      <c r="H52" s="47"/>
      <c r="I52" s="47"/>
      <c r="J52" s="47"/>
      <c r="K52" s="47"/>
      <c r="L52" s="47">
        <v>0.6</v>
      </c>
      <c r="M52" s="68"/>
      <c r="N52" s="46">
        <f t="shared" si="0"/>
        <v>0.6</v>
      </c>
      <c r="O52" s="65">
        <f t="shared" si="1"/>
        <v>1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2.5" hidden="1" customHeight="1">
      <c r="A53" s="25">
        <v>38</v>
      </c>
      <c r="B53" s="21" t="s">
        <v>303</v>
      </c>
      <c r="C53" s="62" t="s">
        <v>216</v>
      </c>
      <c r="D53" s="63" t="s">
        <v>304</v>
      </c>
      <c r="E53" s="21" t="s">
        <v>305</v>
      </c>
      <c r="F53" s="47"/>
      <c r="G53" s="47"/>
      <c r="H53" s="47"/>
      <c r="I53" s="47"/>
      <c r="J53" s="47"/>
      <c r="K53" s="47"/>
      <c r="L53" s="47"/>
      <c r="M53" s="64"/>
      <c r="N53" s="46">
        <f t="shared" si="0"/>
        <v>0</v>
      </c>
      <c r="O53" s="65">
        <f t="shared" si="1"/>
        <v>0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2.5" hidden="1" customHeight="1">
      <c r="A54" s="25">
        <v>39</v>
      </c>
      <c r="B54" s="21" t="s">
        <v>306</v>
      </c>
      <c r="C54" s="62" t="s">
        <v>307</v>
      </c>
      <c r="D54" s="63" t="s">
        <v>304</v>
      </c>
      <c r="E54" s="21" t="s">
        <v>308</v>
      </c>
      <c r="F54" s="47"/>
      <c r="G54" s="47"/>
      <c r="H54" s="47"/>
      <c r="I54" s="47"/>
      <c r="J54" s="47"/>
      <c r="K54" s="47"/>
      <c r="L54" s="47">
        <v>0.3</v>
      </c>
      <c r="M54" s="64"/>
      <c r="N54" s="46">
        <f t="shared" si="0"/>
        <v>0.3</v>
      </c>
      <c r="O54" s="65">
        <f t="shared" si="1"/>
        <v>0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2.5" hidden="1" customHeight="1">
      <c r="A55" s="25">
        <v>40</v>
      </c>
      <c r="B55" s="21" t="s">
        <v>309</v>
      </c>
      <c r="C55" s="62" t="s">
        <v>310</v>
      </c>
      <c r="D55" s="63" t="s">
        <v>304</v>
      </c>
      <c r="E55" s="21" t="s">
        <v>311</v>
      </c>
      <c r="F55" s="47"/>
      <c r="G55" s="47"/>
      <c r="H55" s="47"/>
      <c r="I55" s="47"/>
      <c r="J55" s="47"/>
      <c r="K55" s="47"/>
      <c r="L55" s="47"/>
      <c r="M55" s="66"/>
      <c r="N55" s="199">
        <f t="shared" si="0"/>
        <v>0</v>
      </c>
      <c r="O55" s="67">
        <f t="shared" si="1"/>
        <v>0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2.5" hidden="1" customHeight="1">
      <c r="A56" s="25">
        <v>41</v>
      </c>
      <c r="B56" s="21" t="s">
        <v>312</v>
      </c>
      <c r="C56" s="62" t="s">
        <v>313</v>
      </c>
      <c r="D56" s="63" t="s">
        <v>314</v>
      </c>
      <c r="E56" s="21" t="s">
        <v>315</v>
      </c>
      <c r="F56" s="47"/>
      <c r="G56" s="47"/>
      <c r="H56" s="47"/>
      <c r="I56" s="47"/>
      <c r="J56" s="47"/>
      <c r="K56" s="47"/>
      <c r="L56" s="47"/>
      <c r="M56" s="64"/>
      <c r="N56" s="46">
        <f t="shared" si="0"/>
        <v>0</v>
      </c>
      <c r="O56" s="65">
        <f t="shared" si="1"/>
        <v>0</v>
      </c>
      <c r="P56" s="22"/>
      <c r="Q56" s="6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2.5" hidden="1" customHeight="1">
      <c r="A57" s="25">
        <v>42</v>
      </c>
      <c r="B57" s="21" t="s">
        <v>316</v>
      </c>
      <c r="C57" s="62" t="s">
        <v>317</v>
      </c>
      <c r="D57" s="63" t="s">
        <v>318</v>
      </c>
      <c r="E57" s="21" t="s">
        <v>319</v>
      </c>
      <c r="F57" s="47"/>
      <c r="G57" s="47"/>
      <c r="H57" s="47"/>
      <c r="I57" s="47"/>
      <c r="J57" s="47"/>
      <c r="K57" s="47"/>
      <c r="L57" s="47">
        <v>0.6</v>
      </c>
      <c r="M57" s="64"/>
      <c r="N57" s="46">
        <f t="shared" si="0"/>
        <v>0.6</v>
      </c>
      <c r="O57" s="65">
        <f t="shared" si="1"/>
        <v>1</v>
      </c>
      <c r="P57" s="22"/>
      <c r="Q57" s="6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2.5" hidden="1" customHeight="1">
      <c r="A58" s="26">
        <v>43</v>
      </c>
      <c r="B58" s="195" t="s">
        <v>320</v>
      </c>
      <c r="C58" s="196" t="s">
        <v>321</v>
      </c>
      <c r="D58" s="197" t="s">
        <v>322</v>
      </c>
      <c r="E58" s="195" t="s">
        <v>323</v>
      </c>
      <c r="F58" s="198"/>
      <c r="G58" s="198"/>
      <c r="H58" s="198"/>
      <c r="I58" s="198"/>
      <c r="J58" s="198"/>
      <c r="K58" s="198"/>
      <c r="L58" s="198"/>
      <c r="M58" s="66"/>
      <c r="N58" s="199">
        <f t="shared" si="0"/>
        <v>0</v>
      </c>
      <c r="O58" s="67">
        <f t="shared" si="1"/>
        <v>0</v>
      </c>
      <c r="P58" s="22"/>
      <c r="Q58" s="6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2.5" hidden="1" customHeight="1">
      <c r="A59" s="69">
        <v>1</v>
      </c>
      <c r="B59" s="18" t="s">
        <v>324</v>
      </c>
      <c r="C59" s="57" t="s">
        <v>325</v>
      </c>
      <c r="D59" s="58" t="s">
        <v>326</v>
      </c>
      <c r="E59" s="70" t="s">
        <v>327</v>
      </c>
      <c r="F59" s="44"/>
      <c r="G59" s="44"/>
      <c r="H59" s="44"/>
      <c r="I59" s="44"/>
      <c r="J59" s="44"/>
      <c r="K59" s="44"/>
      <c r="L59" s="44"/>
      <c r="M59" s="60"/>
      <c r="N59" s="45">
        <f t="shared" si="0"/>
        <v>0</v>
      </c>
      <c r="O59" s="61">
        <f t="shared" si="1"/>
        <v>0</v>
      </c>
      <c r="P59" s="22"/>
      <c r="Q59" s="6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2.5" hidden="1" customHeight="1">
      <c r="A60" s="71">
        <v>2</v>
      </c>
      <c r="B60" s="21" t="s">
        <v>328</v>
      </c>
      <c r="C60" s="62" t="s">
        <v>329</v>
      </c>
      <c r="D60" s="63" t="s">
        <v>330</v>
      </c>
      <c r="E60" s="72" t="s">
        <v>331</v>
      </c>
      <c r="F60" s="47"/>
      <c r="G60" s="47"/>
      <c r="H60" s="47"/>
      <c r="I60" s="47"/>
      <c r="J60" s="47"/>
      <c r="K60" s="47"/>
      <c r="L60" s="47"/>
      <c r="M60" s="64"/>
      <c r="N60" s="46">
        <f t="shared" si="0"/>
        <v>0</v>
      </c>
      <c r="O60" s="65">
        <f t="shared" si="1"/>
        <v>0</v>
      </c>
      <c r="P60" s="22"/>
      <c r="Q60" s="6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2.5" hidden="1" customHeight="1">
      <c r="A61" s="71">
        <v>3</v>
      </c>
      <c r="B61" s="21" t="s">
        <v>332</v>
      </c>
      <c r="C61" s="62" t="s">
        <v>197</v>
      </c>
      <c r="D61" s="63" t="s">
        <v>333</v>
      </c>
      <c r="E61" s="72" t="s">
        <v>334</v>
      </c>
      <c r="F61" s="47"/>
      <c r="G61" s="47"/>
      <c r="H61" s="47"/>
      <c r="I61" s="47"/>
      <c r="J61" s="47"/>
      <c r="K61" s="47"/>
      <c r="L61" s="47"/>
      <c r="M61" s="64"/>
      <c r="N61" s="46">
        <f t="shared" si="0"/>
        <v>0</v>
      </c>
      <c r="O61" s="65">
        <f t="shared" si="1"/>
        <v>0</v>
      </c>
      <c r="P61" s="22"/>
      <c r="Q61" s="6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2.5" hidden="1" customHeight="1">
      <c r="A62" s="71">
        <v>4</v>
      </c>
      <c r="B62" s="21" t="s">
        <v>335</v>
      </c>
      <c r="C62" s="62" t="s">
        <v>336</v>
      </c>
      <c r="D62" s="63" t="s">
        <v>194</v>
      </c>
      <c r="E62" s="72" t="s">
        <v>337</v>
      </c>
      <c r="F62" s="47"/>
      <c r="G62" s="47"/>
      <c r="H62" s="47"/>
      <c r="I62" s="47"/>
      <c r="J62" s="47"/>
      <c r="K62" s="47"/>
      <c r="L62" s="47">
        <v>0.6</v>
      </c>
      <c r="M62" s="64"/>
      <c r="N62" s="46">
        <f t="shared" si="0"/>
        <v>0.6</v>
      </c>
      <c r="O62" s="65">
        <f t="shared" si="1"/>
        <v>1</v>
      </c>
      <c r="P62" s="22"/>
      <c r="Q62" s="6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2.5" hidden="1" customHeight="1">
      <c r="A63" s="71">
        <v>5</v>
      </c>
      <c r="B63" s="21" t="s">
        <v>338</v>
      </c>
      <c r="C63" s="62" t="s">
        <v>339</v>
      </c>
      <c r="D63" s="63" t="s">
        <v>340</v>
      </c>
      <c r="E63" s="72" t="s">
        <v>341</v>
      </c>
      <c r="F63" s="47"/>
      <c r="G63" s="47"/>
      <c r="H63" s="47"/>
      <c r="I63" s="47"/>
      <c r="J63" s="47"/>
      <c r="K63" s="47"/>
      <c r="L63" s="47"/>
      <c r="M63" s="64"/>
      <c r="N63" s="46">
        <f t="shared" si="0"/>
        <v>0</v>
      </c>
      <c r="O63" s="65">
        <f t="shared" si="1"/>
        <v>0</v>
      </c>
      <c r="P63" s="22"/>
      <c r="Q63" s="6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2.5" hidden="1" customHeight="1">
      <c r="A64" s="71">
        <v>6</v>
      </c>
      <c r="B64" s="21" t="s">
        <v>342</v>
      </c>
      <c r="C64" s="62" t="s">
        <v>343</v>
      </c>
      <c r="D64" s="63" t="s">
        <v>225</v>
      </c>
      <c r="E64" s="72" t="s">
        <v>260</v>
      </c>
      <c r="F64" s="47"/>
      <c r="G64" s="47"/>
      <c r="H64" s="47"/>
      <c r="I64" s="47"/>
      <c r="J64" s="47"/>
      <c r="K64" s="47"/>
      <c r="L64" s="47"/>
      <c r="M64" s="64"/>
      <c r="N64" s="46">
        <f t="shared" si="0"/>
        <v>0</v>
      </c>
      <c r="O64" s="65">
        <f t="shared" si="1"/>
        <v>0</v>
      </c>
      <c r="P64" s="22"/>
      <c r="Q64" s="6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2.5" hidden="1" customHeight="1">
      <c r="A65" s="71">
        <v>7</v>
      </c>
      <c r="B65" s="21" t="s">
        <v>344</v>
      </c>
      <c r="C65" s="62" t="s">
        <v>345</v>
      </c>
      <c r="D65" s="63" t="s">
        <v>346</v>
      </c>
      <c r="E65" s="72" t="s">
        <v>347</v>
      </c>
      <c r="F65" s="198"/>
      <c r="G65" s="198"/>
      <c r="H65" s="198"/>
      <c r="I65" s="198"/>
      <c r="J65" s="198"/>
      <c r="K65" s="198"/>
      <c r="L65" s="198"/>
      <c r="M65" s="66"/>
      <c r="N65" s="46">
        <f t="shared" si="0"/>
        <v>0</v>
      </c>
      <c r="O65" s="65">
        <f t="shared" si="1"/>
        <v>0</v>
      </c>
      <c r="P65" s="22"/>
      <c r="Q65" s="6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2.5" hidden="1" customHeight="1">
      <c r="A66" s="71">
        <v>8</v>
      </c>
      <c r="B66" s="21" t="s">
        <v>348</v>
      </c>
      <c r="C66" s="62" t="s">
        <v>349</v>
      </c>
      <c r="D66" s="63" t="s">
        <v>350</v>
      </c>
      <c r="E66" s="72" t="s">
        <v>351</v>
      </c>
      <c r="F66" s="198"/>
      <c r="G66" s="198"/>
      <c r="H66" s="198"/>
      <c r="I66" s="198"/>
      <c r="J66" s="198"/>
      <c r="K66" s="198"/>
      <c r="L66" s="198"/>
      <c r="M66" s="66"/>
      <c r="N66" s="46">
        <f t="shared" si="0"/>
        <v>0</v>
      </c>
      <c r="O66" s="65">
        <f t="shared" si="1"/>
        <v>0</v>
      </c>
      <c r="P66" s="22"/>
      <c r="Q66" s="6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2.5" customHeight="1">
      <c r="A67" s="73">
        <v>9</v>
      </c>
      <c r="B67" s="29" t="s">
        <v>352</v>
      </c>
      <c r="C67" s="74" t="s">
        <v>353</v>
      </c>
      <c r="D67" s="75" t="s">
        <v>354</v>
      </c>
      <c r="E67" s="76" t="s">
        <v>355</v>
      </c>
      <c r="F67" s="77">
        <v>0</v>
      </c>
      <c r="G67" s="77">
        <v>0</v>
      </c>
      <c r="H67" s="77">
        <v>0.9</v>
      </c>
      <c r="I67" s="77">
        <v>0</v>
      </c>
      <c r="J67" s="77">
        <v>0</v>
      </c>
      <c r="K67" s="77">
        <v>0</v>
      </c>
      <c r="L67" s="77">
        <v>0</v>
      </c>
      <c r="M67" s="78"/>
      <c r="N67" s="54">
        <f t="shared" si="0"/>
        <v>0.9</v>
      </c>
      <c r="O67" s="79">
        <f t="shared" si="1"/>
        <v>1</v>
      </c>
      <c r="P67" s="22"/>
      <c r="Q67" s="6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2.5" hidden="1" customHeight="1">
      <c r="A68" s="23">
        <v>10</v>
      </c>
      <c r="B68" s="200" t="s">
        <v>356</v>
      </c>
      <c r="C68" s="201" t="s">
        <v>325</v>
      </c>
      <c r="D68" s="202" t="s">
        <v>354</v>
      </c>
      <c r="E68" s="80" t="s">
        <v>357</v>
      </c>
      <c r="F68" s="203"/>
      <c r="G68" s="203"/>
      <c r="H68" s="203"/>
      <c r="I68" s="203"/>
      <c r="J68" s="203"/>
      <c r="K68" s="203"/>
      <c r="L68" s="203"/>
      <c r="M68" s="81"/>
      <c r="N68" s="204">
        <f t="shared" si="0"/>
        <v>0</v>
      </c>
      <c r="O68" s="82">
        <f t="shared" si="1"/>
        <v>0</v>
      </c>
      <c r="P68" s="22"/>
      <c r="Q68" s="6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22.5" hidden="1" customHeight="1">
      <c r="A69" s="19">
        <v>11</v>
      </c>
      <c r="B69" s="21" t="s">
        <v>358</v>
      </c>
      <c r="C69" s="62" t="s">
        <v>359</v>
      </c>
      <c r="D69" s="63" t="s">
        <v>360</v>
      </c>
      <c r="E69" s="72" t="s">
        <v>361</v>
      </c>
      <c r="F69" s="198"/>
      <c r="G69" s="198"/>
      <c r="H69" s="198"/>
      <c r="I69" s="198"/>
      <c r="J69" s="198"/>
      <c r="K69" s="198"/>
      <c r="L69" s="198"/>
      <c r="M69" s="66"/>
      <c r="N69" s="46">
        <f t="shared" si="0"/>
        <v>0</v>
      </c>
      <c r="O69" s="65">
        <f t="shared" si="1"/>
        <v>0</v>
      </c>
      <c r="P69" s="22"/>
      <c r="Q69" s="6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2.5" hidden="1" customHeight="1">
      <c r="A70" s="19">
        <v>12</v>
      </c>
      <c r="B70" s="21" t="s">
        <v>362</v>
      </c>
      <c r="C70" s="62" t="s">
        <v>212</v>
      </c>
      <c r="D70" s="63" t="s">
        <v>363</v>
      </c>
      <c r="E70" s="72" t="s">
        <v>364</v>
      </c>
      <c r="F70" s="198"/>
      <c r="G70" s="198"/>
      <c r="H70" s="198"/>
      <c r="I70" s="198"/>
      <c r="J70" s="198"/>
      <c r="K70" s="198"/>
      <c r="L70" s="198"/>
      <c r="M70" s="66"/>
      <c r="N70" s="46">
        <f t="shared" si="0"/>
        <v>0</v>
      </c>
      <c r="O70" s="65">
        <f t="shared" si="1"/>
        <v>0</v>
      </c>
      <c r="P70" s="22"/>
      <c r="Q70" s="6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2.5" hidden="1" customHeight="1">
      <c r="A71" s="83">
        <v>13</v>
      </c>
      <c r="B71" s="29" t="s">
        <v>365</v>
      </c>
      <c r="C71" s="74" t="s">
        <v>366</v>
      </c>
      <c r="D71" s="75" t="s">
        <v>318</v>
      </c>
      <c r="E71" s="76" t="s">
        <v>367</v>
      </c>
      <c r="F71" s="84"/>
      <c r="G71" s="85"/>
      <c r="H71" s="77"/>
      <c r="I71" s="77"/>
      <c r="J71" s="77"/>
      <c r="K71" s="77"/>
      <c r="L71" s="77"/>
      <c r="M71" s="78"/>
      <c r="N71" s="54">
        <f t="shared" si="0"/>
        <v>0</v>
      </c>
      <c r="O71" s="79">
        <f t="shared" si="1"/>
        <v>0</v>
      </c>
      <c r="P71" s="22"/>
      <c r="Q71" s="6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31"/>
      <c r="B72" s="24"/>
      <c r="C72" s="30"/>
      <c r="D72" s="24"/>
      <c r="E72" s="24"/>
      <c r="F72" s="4"/>
      <c r="G72" s="4"/>
      <c r="H72" s="4"/>
      <c r="I72" s="4"/>
      <c r="J72" s="4"/>
      <c r="K72" s="4"/>
      <c r="L72" s="4"/>
      <c r="M72" s="24"/>
      <c r="N72" s="55"/>
      <c r="O72" s="6"/>
      <c r="P72" s="22"/>
      <c r="Q72" s="6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31"/>
      <c r="B73" s="24"/>
      <c r="C73" s="30"/>
      <c r="D73" s="24"/>
      <c r="E73" s="24"/>
      <c r="F73" s="4"/>
      <c r="G73" s="4"/>
      <c r="H73" s="4"/>
      <c r="I73" s="4"/>
      <c r="J73" s="4"/>
      <c r="K73" s="4"/>
      <c r="L73" s="4"/>
      <c r="M73" s="24"/>
      <c r="N73" s="55"/>
      <c r="O73" s="6"/>
      <c r="P73" s="22"/>
      <c r="Q73" s="6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31"/>
      <c r="B74" s="24"/>
      <c r="C74" s="30"/>
      <c r="D74" s="24"/>
      <c r="E74" s="24"/>
      <c r="F74" s="4"/>
      <c r="G74" s="4"/>
      <c r="H74" s="4"/>
      <c r="I74" s="4"/>
      <c r="J74" s="4"/>
      <c r="K74" s="4"/>
      <c r="L74" s="4"/>
      <c r="M74" s="24"/>
      <c r="N74" s="55"/>
      <c r="O74" s="6"/>
      <c r="P74" s="22"/>
      <c r="Q74" s="6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31"/>
      <c r="B75" s="24"/>
      <c r="C75" s="30"/>
      <c r="D75" s="24"/>
      <c r="E75" s="24"/>
      <c r="F75" s="4"/>
      <c r="G75" s="4"/>
      <c r="H75" s="4"/>
      <c r="I75" s="4"/>
      <c r="J75" s="4"/>
      <c r="K75" s="4"/>
      <c r="L75" s="4"/>
      <c r="M75" s="24"/>
      <c r="N75" s="55"/>
      <c r="O75" s="6"/>
      <c r="P75" s="22"/>
      <c r="Q75" s="6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31"/>
      <c r="B76" s="24"/>
      <c r="C76" s="30"/>
      <c r="D76" s="24"/>
      <c r="E76" s="24"/>
      <c r="F76" s="4"/>
      <c r="G76" s="4"/>
      <c r="H76" s="4"/>
      <c r="I76" s="4"/>
      <c r="J76" s="4"/>
      <c r="K76" s="4"/>
      <c r="L76" s="4"/>
      <c r="M76" s="24"/>
      <c r="N76" s="55"/>
      <c r="O76" s="6"/>
      <c r="P76" s="22"/>
      <c r="Q76" s="6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31"/>
      <c r="B77" s="24"/>
      <c r="C77" s="30"/>
      <c r="D77" s="24"/>
      <c r="E77" s="24"/>
      <c r="F77" s="4"/>
      <c r="G77" s="4"/>
      <c r="H77" s="4"/>
      <c r="I77" s="4"/>
      <c r="J77" s="4"/>
      <c r="K77" s="4"/>
      <c r="L77" s="4"/>
      <c r="M77" s="24"/>
      <c r="N77" s="55"/>
      <c r="O77" s="6"/>
      <c r="P77" s="22"/>
      <c r="Q77" s="6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31"/>
      <c r="B78" s="24"/>
      <c r="C78" s="30"/>
      <c r="D78" s="24"/>
      <c r="E78" s="24"/>
      <c r="F78" s="4"/>
      <c r="G78" s="4"/>
      <c r="H78" s="4"/>
      <c r="I78" s="4"/>
      <c r="J78" s="4"/>
      <c r="K78" s="4"/>
      <c r="L78" s="4"/>
      <c r="M78" s="24"/>
      <c r="N78" s="55"/>
      <c r="O78" s="6"/>
      <c r="P78" s="22"/>
      <c r="Q78" s="6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31"/>
      <c r="B79" s="24"/>
      <c r="C79" s="30"/>
      <c r="D79" s="24"/>
      <c r="E79" s="24"/>
      <c r="F79" s="4"/>
      <c r="G79" s="4"/>
      <c r="H79" s="4"/>
      <c r="I79" s="4"/>
      <c r="J79" s="4"/>
      <c r="K79" s="4"/>
      <c r="L79" s="4"/>
      <c r="M79" s="24"/>
      <c r="N79" s="55"/>
      <c r="O79" s="6"/>
      <c r="P79" s="22"/>
      <c r="Q79" s="6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31"/>
      <c r="B80" s="24"/>
      <c r="C80" s="30"/>
      <c r="D80" s="24"/>
      <c r="E80" s="24"/>
      <c r="F80" s="4"/>
      <c r="G80" s="4"/>
      <c r="H80" s="4"/>
      <c r="I80" s="4"/>
      <c r="J80" s="4"/>
      <c r="K80" s="4"/>
      <c r="L80" s="4"/>
      <c r="M80" s="24"/>
      <c r="N80" s="55"/>
      <c r="O80" s="6"/>
      <c r="P80" s="22"/>
      <c r="Q80" s="6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31"/>
      <c r="B81" s="24"/>
      <c r="C81" s="30"/>
      <c r="D81" s="24"/>
      <c r="E81" s="24"/>
      <c r="F81" s="4"/>
      <c r="G81" s="4"/>
      <c r="H81" s="4"/>
      <c r="I81" s="4"/>
      <c r="J81" s="4"/>
      <c r="K81" s="4"/>
      <c r="L81" s="4"/>
      <c r="M81" s="24"/>
      <c r="N81" s="55"/>
      <c r="O81" s="6"/>
      <c r="P81" s="22"/>
      <c r="Q81" s="6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31"/>
      <c r="B82" s="24"/>
      <c r="C82" s="30"/>
      <c r="D82" s="24"/>
      <c r="E82" s="24"/>
      <c r="F82" s="4"/>
      <c r="G82" s="4"/>
      <c r="H82" s="4"/>
      <c r="I82" s="4"/>
      <c r="J82" s="4"/>
      <c r="K82" s="4"/>
      <c r="L82" s="4"/>
      <c r="M82" s="24"/>
      <c r="N82" s="55"/>
      <c r="O82" s="6"/>
      <c r="P82" s="22"/>
      <c r="Q82" s="6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31"/>
      <c r="B83" s="24"/>
      <c r="C83" s="30"/>
      <c r="D83" s="24"/>
      <c r="E83" s="24"/>
      <c r="F83" s="4"/>
      <c r="G83" s="4"/>
      <c r="H83" s="4"/>
      <c r="I83" s="4"/>
      <c r="J83" s="4"/>
      <c r="K83" s="4"/>
      <c r="L83" s="4"/>
      <c r="M83" s="24"/>
      <c r="N83" s="55"/>
      <c r="O83" s="6"/>
      <c r="P83" s="22"/>
      <c r="Q83" s="6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31"/>
      <c r="B84" s="24"/>
      <c r="C84" s="30"/>
      <c r="D84" s="24"/>
      <c r="E84" s="24"/>
      <c r="F84" s="4"/>
      <c r="G84" s="4"/>
      <c r="H84" s="4"/>
      <c r="I84" s="4"/>
      <c r="J84" s="4"/>
      <c r="K84" s="4"/>
      <c r="L84" s="4"/>
      <c r="M84" s="24"/>
      <c r="N84" s="55"/>
      <c r="O84" s="6"/>
      <c r="P84" s="22"/>
      <c r="Q84" s="6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31"/>
      <c r="B85" s="24"/>
      <c r="C85" s="30"/>
      <c r="D85" s="24"/>
      <c r="E85" s="24"/>
      <c r="F85" s="4"/>
      <c r="G85" s="4"/>
      <c r="H85" s="4"/>
      <c r="I85" s="4"/>
      <c r="J85" s="4"/>
      <c r="K85" s="4"/>
      <c r="L85" s="4"/>
      <c r="M85" s="24"/>
      <c r="N85" s="55"/>
      <c r="O85" s="6"/>
      <c r="P85" s="22"/>
      <c r="Q85" s="6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31"/>
      <c r="B86" s="24"/>
      <c r="C86" s="30"/>
      <c r="D86" s="24"/>
      <c r="E86" s="24"/>
      <c r="F86" s="4"/>
      <c r="G86" s="4"/>
      <c r="H86" s="4"/>
      <c r="I86" s="4"/>
      <c r="J86" s="4"/>
      <c r="K86" s="4"/>
      <c r="L86" s="4"/>
      <c r="M86" s="24"/>
      <c r="N86" s="55"/>
      <c r="O86" s="6"/>
      <c r="P86" s="22"/>
      <c r="Q86" s="6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31"/>
      <c r="B87" s="24"/>
      <c r="C87" s="30"/>
      <c r="D87" s="24"/>
      <c r="E87" s="24"/>
      <c r="F87" s="4"/>
      <c r="G87" s="4"/>
      <c r="H87" s="4"/>
      <c r="I87" s="4"/>
      <c r="J87" s="4"/>
      <c r="K87" s="4"/>
      <c r="L87" s="4"/>
      <c r="M87" s="24"/>
      <c r="N87" s="55"/>
      <c r="O87" s="6"/>
      <c r="P87" s="22"/>
      <c r="Q87" s="6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31"/>
      <c r="B88" s="24"/>
      <c r="C88" s="30"/>
      <c r="D88" s="24"/>
      <c r="E88" s="24"/>
      <c r="F88" s="4"/>
      <c r="G88" s="4"/>
      <c r="H88" s="4"/>
      <c r="I88" s="4"/>
      <c r="J88" s="4"/>
      <c r="K88" s="4"/>
      <c r="L88" s="4"/>
      <c r="M88" s="24"/>
      <c r="N88" s="55"/>
      <c r="O88" s="6"/>
      <c r="P88" s="22"/>
      <c r="Q88" s="6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31"/>
      <c r="B89" s="24"/>
      <c r="C89" s="30"/>
      <c r="D89" s="24"/>
      <c r="E89" s="24"/>
      <c r="F89" s="4"/>
      <c r="G89" s="4"/>
      <c r="H89" s="4"/>
      <c r="I89" s="4"/>
      <c r="J89" s="4"/>
      <c r="K89" s="4"/>
      <c r="L89" s="4"/>
      <c r="M89" s="24"/>
      <c r="N89" s="55"/>
      <c r="O89" s="6"/>
      <c r="P89" s="22"/>
      <c r="Q89" s="6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31"/>
      <c r="B90" s="24"/>
      <c r="C90" s="30"/>
      <c r="D90" s="24"/>
      <c r="E90" s="24"/>
      <c r="F90" s="4"/>
      <c r="G90" s="4"/>
      <c r="H90" s="4"/>
      <c r="I90" s="4"/>
      <c r="J90" s="4"/>
      <c r="K90" s="4"/>
      <c r="L90" s="4"/>
      <c r="M90" s="24"/>
      <c r="N90" s="55"/>
      <c r="O90" s="6"/>
      <c r="P90" s="22"/>
      <c r="Q90" s="6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31"/>
      <c r="B91" s="24"/>
      <c r="C91" s="30"/>
      <c r="D91" s="24"/>
      <c r="E91" s="24"/>
      <c r="F91" s="4"/>
      <c r="G91" s="4"/>
      <c r="H91" s="4"/>
      <c r="I91" s="4"/>
      <c r="J91" s="4"/>
      <c r="K91" s="4"/>
      <c r="L91" s="4"/>
      <c r="M91" s="24"/>
      <c r="N91" s="55"/>
      <c r="O91" s="6"/>
      <c r="P91" s="22"/>
      <c r="Q91" s="6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31"/>
      <c r="B92" s="24"/>
      <c r="C92" s="30"/>
      <c r="D92" s="24"/>
      <c r="E92" s="24"/>
      <c r="F92" s="4"/>
      <c r="G92" s="4"/>
      <c r="H92" s="4"/>
      <c r="I92" s="4"/>
      <c r="J92" s="4"/>
      <c r="K92" s="4"/>
      <c r="L92" s="4"/>
      <c r="M92" s="24"/>
      <c r="N92" s="55"/>
      <c r="O92" s="6"/>
      <c r="P92" s="22"/>
      <c r="Q92" s="6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31"/>
      <c r="B93" s="24"/>
      <c r="C93" s="30"/>
      <c r="D93" s="24"/>
      <c r="E93" s="24"/>
      <c r="F93" s="4"/>
      <c r="G93" s="4"/>
      <c r="H93" s="4"/>
      <c r="I93" s="4"/>
      <c r="J93" s="4"/>
      <c r="K93" s="4"/>
      <c r="L93" s="4"/>
      <c r="M93" s="24"/>
      <c r="N93" s="55"/>
      <c r="O93" s="6"/>
      <c r="P93" s="22"/>
      <c r="Q93" s="6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31"/>
      <c r="B94" s="24"/>
      <c r="C94" s="30"/>
      <c r="D94" s="24"/>
      <c r="E94" s="24"/>
      <c r="F94" s="4"/>
      <c r="G94" s="4"/>
      <c r="H94" s="4"/>
      <c r="I94" s="4"/>
      <c r="J94" s="4"/>
      <c r="K94" s="4"/>
      <c r="L94" s="4"/>
      <c r="M94" s="24"/>
      <c r="N94" s="55"/>
      <c r="O94" s="6"/>
      <c r="P94" s="22"/>
      <c r="Q94" s="6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31"/>
      <c r="B95" s="24"/>
      <c r="C95" s="30"/>
      <c r="D95" s="24"/>
      <c r="E95" s="24"/>
      <c r="F95" s="4"/>
      <c r="G95" s="4"/>
      <c r="H95" s="4"/>
      <c r="I95" s="4"/>
      <c r="J95" s="4"/>
      <c r="K95" s="4"/>
      <c r="L95" s="4"/>
      <c r="M95" s="24"/>
      <c r="N95" s="55"/>
      <c r="O95" s="6"/>
      <c r="P95" s="22"/>
      <c r="Q95" s="6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31"/>
      <c r="B96" s="24"/>
      <c r="C96" s="30"/>
      <c r="D96" s="24"/>
      <c r="E96" s="24"/>
      <c r="F96" s="4"/>
      <c r="G96" s="4"/>
      <c r="H96" s="4"/>
      <c r="I96" s="4"/>
      <c r="J96" s="4"/>
      <c r="K96" s="4"/>
      <c r="L96" s="4"/>
      <c r="M96" s="24"/>
      <c r="N96" s="55"/>
      <c r="O96" s="6"/>
      <c r="P96" s="22"/>
      <c r="Q96" s="6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31"/>
      <c r="B97" s="24"/>
      <c r="C97" s="30"/>
      <c r="D97" s="24"/>
      <c r="E97" s="24"/>
      <c r="F97" s="4"/>
      <c r="G97" s="4"/>
      <c r="H97" s="4"/>
      <c r="I97" s="4"/>
      <c r="J97" s="4"/>
      <c r="K97" s="4"/>
      <c r="L97" s="4"/>
      <c r="M97" s="24"/>
      <c r="N97" s="55"/>
      <c r="O97" s="6"/>
      <c r="P97" s="22"/>
      <c r="Q97" s="6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31"/>
      <c r="B98" s="24"/>
      <c r="C98" s="30"/>
      <c r="D98" s="24"/>
      <c r="E98" s="24"/>
      <c r="F98" s="4"/>
      <c r="G98" s="4"/>
      <c r="H98" s="4"/>
      <c r="I98" s="4"/>
      <c r="J98" s="4"/>
      <c r="K98" s="4"/>
      <c r="L98" s="4"/>
      <c r="M98" s="24"/>
      <c r="N98" s="55"/>
      <c r="O98" s="6"/>
      <c r="P98" s="22"/>
      <c r="Q98" s="6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31"/>
      <c r="B99" s="24"/>
      <c r="C99" s="30"/>
      <c r="D99" s="24"/>
      <c r="E99" s="24"/>
      <c r="F99" s="4"/>
      <c r="G99" s="4"/>
      <c r="H99" s="4"/>
      <c r="I99" s="4"/>
      <c r="J99" s="4"/>
      <c r="K99" s="4"/>
      <c r="L99" s="4"/>
      <c r="M99" s="24"/>
      <c r="N99" s="55"/>
      <c r="O99" s="6"/>
      <c r="P99" s="22"/>
      <c r="Q99" s="6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31"/>
      <c r="B100" s="24"/>
      <c r="C100" s="30"/>
      <c r="D100" s="24"/>
      <c r="E100" s="24"/>
      <c r="F100" s="4"/>
      <c r="G100" s="4"/>
      <c r="H100" s="4"/>
      <c r="I100" s="4"/>
      <c r="J100" s="4"/>
      <c r="K100" s="4"/>
      <c r="L100" s="4"/>
      <c r="M100" s="24"/>
      <c r="N100" s="55"/>
      <c r="O100" s="6"/>
      <c r="P100" s="22"/>
      <c r="Q100" s="6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31"/>
      <c r="B101" s="24"/>
      <c r="C101" s="30"/>
      <c r="D101" s="24"/>
      <c r="E101" s="24"/>
      <c r="F101" s="4"/>
      <c r="G101" s="4"/>
      <c r="H101" s="4"/>
      <c r="I101" s="4"/>
      <c r="J101" s="4"/>
      <c r="K101" s="4"/>
      <c r="L101" s="4"/>
      <c r="M101" s="24"/>
      <c r="N101" s="55"/>
      <c r="O101" s="6"/>
      <c r="P101" s="22"/>
      <c r="Q101" s="6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31"/>
      <c r="B102" s="24"/>
      <c r="C102" s="30"/>
      <c r="D102" s="24"/>
      <c r="E102" s="24"/>
      <c r="F102" s="4"/>
      <c r="G102" s="4"/>
      <c r="H102" s="4"/>
      <c r="I102" s="4"/>
      <c r="J102" s="4"/>
      <c r="K102" s="4"/>
      <c r="L102" s="4"/>
      <c r="M102" s="24"/>
      <c r="N102" s="55"/>
      <c r="O102" s="6"/>
      <c r="P102" s="22"/>
      <c r="Q102" s="6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31"/>
      <c r="B103" s="24"/>
      <c r="C103" s="30"/>
      <c r="D103" s="24"/>
      <c r="E103" s="24"/>
      <c r="F103" s="4"/>
      <c r="G103" s="4"/>
      <c r="H103" s="4"/>
      <c r="I103" s="4"/>
      <c r="J103" s="4"/>
      <c r="K103" s="4"/>
      <c r="L103" s="4"/>
      <c r="M103" s="24"/>
      <c r="N103" s="55"/>
      <c r="O103" s="6"/>
      <c r="P103" s="22"/>
      <c r="Q103" s="6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31"/>
      <c r="B104" s="24"/>
      <c r="C104" s="30"/>
      <c r="D104" s="24"/>
      <c r="E104" s="24"/>
      <c r="F104" s="4"/>
      <c r="G104" s="4"/>
      <c r="H104" s="4"/>
      <c r="I104" s="4"/>
      <c r="J104" s="4"/>
      <c r="K104" s="4"/>
      <c r="L104" s="4"/>
      <c r="M104" s="24"/>
      <c r="N104" s="55"/>
      <c r="O104" s="6"/>
      <c r="P104" s="22"/>
      <c r="Q104" s="6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31"/>
      <c r="B105" s="24"/>
      <c r="C105" s="30"/>
      <c r="D105" s="24"/>
      <c r="E105" s="24"/>
      <c r="F105" s="4"/>
      <c r="G105" s="4"/>
      <c r="H105" s="4"/>
      <c r="I105" s="4"/>
      <c r="J105" s="4"/>
      <c r="K105" s="4"/>
      <c r="L105" s="4"/>
      <c r="M105" s="24"/>
      <c r="N105" s="55"/>
      <c r="O105" s="6"/>
      <c r="P105" s="22"/>
      <c r="Q105" s="6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31"/>
      <c r="B106" s="24"/>
      <c r="C106" s="30"/>
      <c r="D106" s="24"/>
      <c r="E106" s="24"/>
      <c r="F106" s="4"/>
      <c r="G106" s="4"/>
      <c r="H106" s="4"/>
      <c r="I106" s="4"/>
      <c r="J106" s="4"/>
      <c r="K106" s="4"/>
      <c r="L106" s="4"/>
      <c r="M106" s="24"/>
      <c r="N106" s="55"/>
      <c r="O106" s="6"/>
      <c r="P106" s="22"/>
      <c r="Q106" s="6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31"/>
      <c r="B107" s="24"/>
      <c r="C107" s="30"/>
      <c r="D107" s="24"/>
      <c r="E107" s="24"/>
      <c r="F107" s="4"/>
      <c r="G107" s="4"/>
      <c r="H107" s="4"/>
      <c r="I107" s="4"/>
      <c r="J107" s="4"/>
      <c r="K107" s="4"/>
      <c r="L107" s="4"/>
      <c r="M107" s="24"/>
      <c r="N107" s="55"/>
      <c r="O107" s="6"/>
      <c r="P107" s="22"/>
      <c r="Q107" s="6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31"/>
      <c r="B108" s="24"/>
      <c r="C108" s="30"/>
      <c r="D108" s="24"/>
      <c r="E108" s="24"/>
      <c r="F108" s="4"/>
      <c r="G108" s="4"/>
      <c r="H108" s="4"/>
      <c r="I108" s="4"/>
      <c r="J108" s="4"/>
      <c r="K108" s="4"/>
      <c r="L108" s="4"/>
      <c r="M108" s="24"/>
      <c r="N108" s="55"/>
      <c r="O108" s="6"/>
      <c r="P108" s="22"/>
      <c r="Q108" s="6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31"/>
      <c r="B109" s="24"/>
      <c r="C109" s="30"/>
      <c r="D109" s="24"/>
      <c r="E109" s="24"/>
      <c r="F109" s="4"/>
      <c r="G109" s="4"/>
      <c r="H109" s="4"/>
      <c r="I109" s="4"/>
      <c r="J109" s="4"/>
      <c r="K109" s="4"/>
      <c r="L109" s="4"/>
      <c r="M109" s="24"/>
      <c r="N109" s="55"/>
      <c r="O109" s="6"/>
      <c r="P109" s="22"/>
      <c r="Q109" s="6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31"/>
      <c r="B110" s="24"/>
      <c r="C110" s="30"/>
      <c r="D110" s="24"/>
      <c r="E110" s="24"/>
      <c r="F110" s="4"/>
      <c r="G110" s="4"/>
      <c r="H110" s="4"/>
      <c r="I110" s="4"/>
      <c r="J110" s="4"/>
      <c r="K110" s="4"/>
      <c r="L110" s="4"/>
      <c r="M110" s="24"/>
      <c r="N110" s="55"/>
      <c r="O110" s="6"/>
      <c r="P110" s="22"/>
      <c r="Q110" s="6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31"/>
      <c r="B111" s="24"/>
      <c r="C111" s="30"/>
      <c r="D111" s="24"/>
      <c r="E111" s="24"/>
      <c r="F111" s="4"/>
      <c r="G111" s="4"/>
      <c r="H111" s="4"/>
      <c r="I111" s="4"/>
      <c r="J111" s="4"/>
      <c r="K111" s="4"/>
      <c r="L111" s="4"/>
      <c r="M111" s="24"/>
      <c r="N111" s="55"/>
      <c r="O111" s="6"/>
      <c r="P111" s="22"/>
      <c r="Q111" s="6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31"/>
      <c r="B112" s="24"/>
      <c r="C112" s="30"/>
      <c r="D112" s="24"/>
      <c r="E112" s="24"/>
      <c r="F112" s="4"/>
      <c r="G112" s="4"/>
      <c r="H112" s="4"/>
      <c r="I112" s="4"/>
      <c r="J112" s="4"/>
      <c r="K112" s="4"/>
      <c r="L112" s="4"/>
      <c r="M112" s="24"/>
      <c r="N112" s="55"/>
      <c r="O112" s="6"/>
      <c r="P112" s="22"/>
      <c r="Q112" s="6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31"/>
      <c r="B113" s="24"/>
      <c r="C113" s="30"/>
      <c r="D113" s="24"/>
      <c r="E113" s="24"/>
      <c r="F113" s="4"/>
      <c r="G113" s="4"/>
      <c r="H113" s="4"/>
      <c r="I113" s="4"/>
      <c r="J113" s="4"/>
      <c r="K113" s="4"/>
      <c r="L113" s="4"/>
      <c r="M113" s="24"/>
      <c r="N113" s="55"/>
      <c r="O113" s="6"/>
      <c r="P113" s="22"/>
      <c r="Q113" s="6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31"/>
      <c r="B114" s="24"/>
      <c r="C114" s="30"/>
      <c r="D114" s="24"/>
      <c r="E114" s="24"/>
      <c r="F114" s="4"/>
      <c r="G114" s="4"/>
      <c r="H114" s="4"/>
      <c r="I114" s="4"/>
      <c r="J114" s="4"/>
      <c r="K114" s="4"/>
      <c r="L114" s="4"/>
      <c r="M114" s="24"/>
      <c r="N114" s="55"/>
      <c r="O114" s="6"/>
      <c r="P114" s="22"/>
      <c r="Q114" s="6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31"/>
      <c r="B115" s="24"/>
      <c r="C115" s="30"/>
      <c r="D115" s="24"/>
      <c r="E115" s="24"/>
      <c r="F115" s="4"/>
      <c r="G115" s="4"/>
      <c r="H115" s="4"/>
      <c r="I115" s="4"/>
      <c r="J115" s="4"/>
      <c r="K115" s="4"/>
      <c r="L115" s="4"/>
      <c r="M115" s="24"/>
      <c r="N115" s="55"/>
      <c r="O115" s="6"/>
      <c r="P115" s="22"/>
      <c r="Q115" s="6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31"/>
      <c r="B116" s="24"/>
      <c r="C116" s="30"/>
      <c r="D116" s="24"/>
      <c r="E116" s="24"/>
      <c r="F116" s="4"/>
      <c r="G116" s="4"/>
      <c r="H116" s="4"/>
      <c r="I116" s="4"/>
      <c r="J116" s="4"/>
      <c r="K116" s="4"/>
      <c r="L116" s="4"/>
      <c r="M116" s="24"/>
      <c r="N116" s="55"/>
      <c r="O116" s="6"/>
      <c r="P116" s="22"/>
      <c r="Q116" s="6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31"/>
      <c r="B117" s="24"/>
      <c r="C117" s="30"/>
      <c r="D117" s="24"/>
      <c r="E117" s="24"/>
      <c r="F117" s="4"/>
      <c r="G117" s="4"/>
      <c r="H117" s="4"/>
      <c r="I117" s="4"/>
      <c r="J117" s="4"/>
      <c r="K117" s="4"/>
      <c r="L117" s="4"/>
      <c r="M117" s="24"/>
      <c r="N117" s="55"/>
      <c r="O117" s="6"/>
      <c r="P117" s="22"/>
      <c r="Q117" s="6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31"/>
      <c r="B118" s="24"/>
      <c r="C118" s="30"/>
      <c r="D118" s="24"/>
      <c r="E118" s="24"/>
      <c r="F118" s="4"/>
      <c r="G118" s="4"/>
      <c r="H118" s="4"/>
      <c r="I118" s="4"/>
      <c r="J118" s="4"/>
      <c r="K118" s="4"/>
      <c r="L118" s="4"/>
      <c r="M118" s="24"/>
      <c r="N118" s="55"/>
      <c r="O118" s="6"/>
      <c r="P118" s="22"/>
      <c r="Q118" s="6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31"/>
      <c r="B119" s="24"/>
      <c r="C119" s="30"/>
      <c r="D119" s="24"/>
      <c r="E119" s="24"/>
      <c r="F119" s="4"/>
      <c r="G119" s="4"/>
      <c r="H119" s="4"/>
      <c r="I119" s="4"/>
      <c r="J119" s="4"/>
      <c r="K119" s="4"/>
      <c r="L119" s="4"/>
      <c r="M119" s="24"/>
      <c r="N119" s="55"/>
      <c r="O119" s="6"/>
      <c r="P119" s="22"/>
      <c r="Q119" s="6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31"/>
      <c r="B120" s="24"/>
      <c r="C120" s="30"/>
      <c r="D120" s="24"/>
      <c r="E120" s="24"/>
      <c r="F120" s="4"/>
      <c r="G120" s="4"/>
      <c r="H120" s="4"/>
      <c r="I120" s="4"/>
      <c r="J120" s="4"/>
      <c r="K120" s="4"/>
      <c r="L120" s="4"/>
      <c r="M120" s="24"/>
      <c r="N120" s="55"/>
      <c r="O120" s="6"/>
      <c r="P120" s="22"/>
      <c r="Q120" s="6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31"/>
      <c r="B121" s="24"/>
      <c r="C121" s="30"/>
      <c r="D121" s="24"/>
      <c r="E121" s="24"/>
      <c r="F121" s="4"/>
      <c r="G121" s="4"/>
      <c r="H121" s="4"/>
      <c r="I121" s="4"/>
      <c r="J121" s="4"/>
      <c r="K121" s="4"/>
      <c r="L121" s="4"/>
      <c r="M121" s="24"/>
      <c r="N121" s="55"/>
      <c r="O121" s="6"/>
      <c r="P121" s="22"/>
      <c r="Q121" s="6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31"/>
      <c r="B122" s="24"/>
      <c r="C122" s="30"/>
      <c r="D122" s="24"/>
      <c r="E122" s="24"/>
      <c r="F122" s="4"/>
      <c r="G122" s="4"/>
      <c r="H122" s="4"/>
      <c r="I122" s="4"/>
      <c r="J122" s="4"/>
      <c r="K122" s="4"/>
      <c r="L122" s="4"/>
      <c r="M122" s="24"/>
      <c r="N122" s="55"/>
      <c r="O122" s="6"/>
      <c r="P122" s="22"/>
      <c r="Q122" s="6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31"/>
      <c r="B123" s="24"/>
      <c r="C123" s="30"/>
      <c r="D123" s="24"/>
      <c r="E123" s="24"/>
      <c r="F123" s="4"/>
      <c r="G123" s="4"/>
      <c r="H123" s="4"/>
      <c r="I123" s="4"/>
      <c r="J123" s="4"/>
      <c r="K123" s="4"/>
      <c r="L123" s="4"/>
      <c r="M123" s="24"/>
      <c r="N123" s="55"/>
      <c r="O123" s="6"/>
      <c r="P123" s="22"/>
      <c r="Q123" s="6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31"/>
      <c r="B124" s="24"/>
      <c r="C124" s="30"/>
      <c r="D124" s="24"/>
      <c r="E124" s="24"/>
      <c r="F124" s="4"/>
      <c r="G124" s="4"/>
      <c r="H124" s="4"/>
      <c r="I124" s="4"/>
      <c r="J124" s="4"/>
      <c r="K124" s="4"/>
      <c r="L124" s="4"/>
      <c r="M124" s="24"/>
      <c r="N124" s="55"/>
      <c r="O124" s="6"/>
      <c r="P124" s="22"/>
      <c r="Q124" s="6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31"/>
      <c r="B125" s="24"/>
      <c r="C125" s="30"/>
      <c r="D125" s="24"/>
      <c r="E125" s="24"/>
      <c r="F125" s="4"/>
      <c r="G125" s="4"/>
      <c r="H125" s="4"/>
      <c r="I125" s="4"/>
      <c r="J125" s="4"/>
      <c r="K125" s="4"/>
      <c r="L125" s="4"/>
      <c r="M125" s="24"/>
      <c r="N125" s="55"/>
      <c r="O125" s="6"/>
      <c r="P125" s="22"/>
      <c r="Q125" s="6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31"/>
      <c r="B126" s="24"/>
      <c r="C126" s="30"/>
      <c r="D126" s="24"/>
      <c r="E126" s="24"/>
      <c r="F126" s="4"/>
      <c r="G126" s="4"/>
      <c r="H126" s="4"/>
      <c r="I126" s="4"/>
      <c r="J126" s="4"/>
      <c r="K126" s="4"/>
      <c r="L126" s="4"/>
      <c r="M126" s="24"/>
      <c r="N126" s="55"/>
      <c r="O126" s="6"/>
      <c r="P126" s="22"/>
      <c r="Q126" s="6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31"/>
      <c r="B127" s="24"/>
      <c r="C127" s="30"/>
      <c r="D127" s="24"/>
      <c r="E127" s="24"/>
      <c r="F127" s="4"/>
      <c r="G127" s="4"/>
      <c r="H127" s="4"/>
      <c r="I127" s="4"/>
      <c r="J127" s="4"/>
      <c r="K127" s="4"/>
      <c r="L127" s="4"/>
      <c r="M127" s="24"/>
      <c r="N127" s="55"/>
      <c r="O127" s="6"/>
      <c r="P127" s="22"/>
      <c r="Q127" s="6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31"/>
      <c r="B128" s="24"/>
      <c r="C128" s="30"/>
      <c r="D128" s="24"/>
      <c r="E128" s="24"/>
      <c r="F128" s="4"/>
      <c r="G128" s="4"/>
      <c r="H128" s="4"/>
      <c r="I128" s="4"/>
      <c r="J128" s="4"/>
      <c r="K128" s="4"/>
      <c r="L128" s="4"/>
      <c r="M128" s="24"/>
      <c r="N128" s="55"/>
      <c r="O128" s="6"/>
      <c r="P128" s="22"/>
      <c r="Q128" s="6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31"/>
      <c r="B129" s="24"/>
      <c r="C129" s="30"/>
      <c r="D129" s="24"/>
      <c r="E129" s="24"/>
      <c r="F129" s="4"/>
      <c r="G129" s="4"/>
      <c r="H129" s="4"/>
      <c r="I129" s="4"/>
      <c r="J129" s="4"/>
      <c r="K129" s="4"/>
      <c r="L129" s="4"/>
      <c r="M129" s="24"/>
      <c r="N129" s="55"/>
      <c r="O129" s="6"/>
      <c r="P129" s="22"/>
      <c r="Q129" s="6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31"/>
      <c r="B130" s="24"/>
      <c r="C130" s="30"/>
      <c r="D130" s="24"/>
      <c r="E130" s="24"/>
      <c r="F130" s="4"/>
      <c r="G130" s="4"/>
      <c r="H130" s="4"/>
      <c r="I130" s="4"/>
      <c r="J130" s="4"/>
      <c r="K130" s="4"/>
      <c r="L130" s="4"/>
      <c r="M130" s="24"/>
      <c r="N130" s="55"/>
      <c r="O130" s="6"/>
      <c r="P130" s="22"/>
      <c r="Q130" s="6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31"/>
      <c r="B131" s="24"/>
      <c r="C131" s="30"/>
      <c r="D131" s="24"/>
      <c r="E131" s="24"/>
      <c r="F131" s="4"/>
      <c r="G131" s="4"/>
      <c r="H131" s="4"/>
      <c r="I131" s="4"/>
      <c r="J131" s="4"/>
      <c r="K131" s="4"/>
      <c r="L131" s="4"/>
      <c r="M131" s="24"/>
      <c r="N131" s="55"/>
      <c r="O131" s="6"/>
      <c r="P131" s="22"/>
      <c r="Q131" s="6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31"/>
      <c r="B132" s="24"/>
      <c r="C132" s="30"/>
      <c r="D132" s="24"/>
      <c r="E132" s="24"/>
      <c r="F132" s="4"/>
      <c r="G132" s="4"/>
      <c r="H132" s="4"/>
      <c r="I132" s="4"/>
      <c r="J132" s="4"/>
      <c r="K132" s="4"/>
      <c r="L132" s="4"/>
      <c r="M132" s="24"/>
      <c r="N132" s="55"/>
      <c r="O132" s="6"/>
      <c r="P132" s="22"/>
      <c r="Q132" s="6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31"/>
      <c r="B133" s="24"/>
      <c r="C133" s="30"/>
      <c r="D133" s="24"/>
      <c r="E133" s="24"/>
      <c r="F133" s="4"/>
      <c r="G133" s="4"/>
      <c r="H133" s="4"/>
      <c r="I133" s="4"/>
      <c r="J133" s="4"/>
      <c r="K133" s="4"/>
      <c r="L133" s="4"/>
      <c r="M133" s="24"/>
      <c r="N133" s="55"/>
      <c r="O133" s="6"/>
      <c r="P133" s="22"/>
      <c r="Q133" s="6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31"/>
      <c r="B134" s="24"/>
      <c r="C134" s="30"/>
      <c r="D134" s="24"/>
      <c r="E134" s="24"/>
      <c r="F134" s="4"/>
      <c r="G134" s="4"/>
      <c r="H134" s="4"/>
      <c r="I134" s="4"/>
      <c r="J134" s="4"/>
      <c r="K134" s="4"/>
      <c r="L134" s="4"/>
      <c r="M134" s="24"/>
      <c r="N134" s="55"/>
      <c r="O134" s="6"/>
      <c r="P134" s="22"/>
      <c r="Q134" s="6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31"/>
      <c r="B135" s="24"/>
      <c r="C135" s="30"/>
      <c r="D135" s="24"/>
      <c r="E135" s="24"/>
      <c r="F135" s="4"/>
      <c r="G135" s="4"/>
      <c r="H135" s="4"/>
      <c r="I135" s="4"/>
      <c r="J135" s="4"/>
      <c r="K135" s="4"/>
      <c r="L135" s="4"/>
      <c r="M135" s="24"/>
      <c r="N135" s="55"/>
      <c r="O135" s="6"/>
      <c r="P135" s="22"/>
      <c r="Q135" s="6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31"/>
      <c r="B136" s="24"/>
      <c r="C136" s="30"/>
      <c r="D136" s="24"/>
      <c r="E136" s="24"/>
      <c r="F136" s="4"/>
      <c r="G136" s="4"/>
      <c r="H136" s="4"/>
      <c r="I136" s="4"/>
      <c r="J136" s="4"/>
      <c r="K136" s="4"/>
      <c r="L136" s="4"/>
      <c r="M136" s="24"/>
      <c r="N136" s="55"/>
      <c r="O136" s="6"/>
      <c r="P136" s="22"/>
      <c r="Q136" s="6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31"/>
      <c r="B137" s="24"/>
      <c r="C137" s="30"/>
      <c r="D137" s="24"/>
      <c r="E137" s="24"/>
      <c r="F137" s="4"/>
      <c r="G137" s="4"/>
      <c r="H137" s="4"/>
      <c r="I137" s="4"/>
      <c r="J137" s="4"/>
      <c r="K137" s="4"/>
      <c r="L137" s="4"/>
      <c r="M137" s="24"/>
      <c r="N137" s="55"/>
      <c r="O137" s="6"/>
      <c r="P137" s="22"/>
      <c r="Q137" s="6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31"/>
      <c r="B138" s="24"/>
      <c r="C138" s="30"/>
      <c r="D138" s="24"/>
      <c r="E138" s="24"/>
      <c r="F138" s="4"/>
      <c r="G138" s="4"/>
      <c r="H138" s="4"/>
      <c r="I138" s="4"/>
      <c r="J138" s="4"/>
      <c r="K138" s="4"/>
      <c r="L138" s="4"/>
      <c r="M138" s="24"/>
      <c r="N138" s="55"/>
      <c r="O138" s="6"/>
      <c r="P138" s="22"/>
      <c r="Q138" s="6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31"/>
      <c r="B139" s="24"/>
      <c r="C139" s="30"/>
      <c r="D139" s="24"/>
      <c r="E139" s="24"/>
      <c r="F139" s="4"/>
      <c r="G139" s="4"/>
      <c r="H139" s="4"/>
      <c r="I139" s="4"/>
      <c r="J139" s="4"/>
      <c r="K139" s="4"/>
      <c r="L139" s="4"/>
      <c r="M139" s="24"/>
      <c r="N139" s="55"/>
      <c r="O139" s="6"/>
      <c r="P139" s="22"/>
      <c r="Q139" s="6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31"/>
      <c r="B140" s="24"/>
      <c r="C140" s="30"/>
      <c r="D140" s="24"/>
      <c r="E140" s="24"/>
      <c r="F140" s="4"/>
      <c r="G140" s="4"/>
      <c r="H140" s="4"/>
      <c r="I140" s="4"/>
      <c r="J140" s="4"/>
      <c r="K140" s="4"/>
      <c r="L140" s="4"/>
      <c r="M140" s="24"/>
      <c r="N140" s="55"/>
      <c r="O140" s="6"/>
      <c r="P140" s="22"/>
      <c r="Q140" s="6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31"/>
      <c r="B141" s="24"/>
      <c r="C141" s="30"/>
      <c r="D141" s="24"/>
      <c r="E141" s="24"/>
      <c r="F141" s="4"/>
      <c r="G141" s="4"/>
      <c r="H141" s="4"/>
      <c r="I141" s="4"/>
      <c r="J141" s="4"/>
      <c r="K141" s="4"/>
      <c r="L141" s="4"/>
      <c r="M141" s="24"/>
      <c r="N141" s="55"/>
      <c r="O141" s="6"/>
      <c r="P141" s="22"/>
      <c r="Q141" s="6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31"/>
      <c r="B142" s="24"/>
      <c r="C142" s="30"/>
      <c r="D142" s="24"/>
      <c r="E142" s="24"/>
      <c r="F142" s="4"/>
      <c r="G142" s="4"/>
      <c r="H142" s="4"/>
      <c r="I142" s="4"/>
      <c r="J142" s="4"/>
      <c r="K142" s="4"/>
      <c r="L142" s="4"/>
      <c r="M142" s="24"/>
      <c r="N142" s="55"/>
      <c r="O142" s="6"/>
      <c r="P142" s="22"/>
      <c r="Q142" s="6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31"/>
      <c r="B143" s="24"/>
      <c r="C143" s="30"/>
      <c r="D143" s="24"/>
      <c r="E143" s="24"/>
      <c r="F143" s="4"/>
      <c r="G143" s="4"/>
      <c r="H143" s="4"/>
      <c r="I143" s="4"/>
      <c r="J143" s="4"/>
      <c r="K143" s="4"/>
      <c r="L143" s="4"/>
      <c r="M143" s="24"/>
      <c r="N143" s="55"/>
      <c r="O143" s="6"/>
      <c r="P143" s="22"/>
      <c r="Q143" s="6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31"/>
      <c r="B144" s="24"/>
      <c r="C144" s="30"/>
      <c r="D144" s="24"/>
      <c r="E144" s="24"/>
      <c r="F144" s="4"/>
      <c r="G144" s="4"/>
      <c r="H144" s="4"/>
      <c r="I144" s="4"/>
      <c r="J144" s="4"/>
      <c r="K144" s="4"/>
      <c r="L144" s="4"/>
      <c r="M144" s="24"/>
      <c r="N144" s="55"/>
      <c r="O144" s="6"/>
      <c r="P144" s="22"/>
      <c r="Q144" s="6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31"/>
      <c r="B145" s="24"/>
      <c r="C145" s="30"/>
      <c r="D145" s="24"/>
      <c r="E145" s="24"/>
      <c r="F145" s="4"/>
      <c r="G145" s="4"/>
      <c r="H145" s="4"/>
      <c r="I145" s="4"/>
      <c r="J145" s="4"/>
      <c r="K145" s="4"/>
      <c r="L145" s="4"/>
      <c r="M145" s="24"/>
      <c r="N145" s="55"/>
      <c r="O145" s="6"/>
      <c r="P145" s="22"/>
      <c r="Q145" s="6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31"/>
      <c r="B146" s="24"/>
      <c r="C146" s="30"/>
      <c r="D146" s="24"/>
      <c r="E146" s="24"/>
      <c r="F146" s="4"/>
      <c r="G146" s="4"/>
      <c r="H146" s="4"/>
      <c r="I146" s="4"/>
      <c r="J146" s="4"/>
      <c r="K146" s="4"/>
      <c r="L146" s="4"/>
      <c r="M146" s="24"/>
      <c r="N146" s="55"/>
      <c r="O146" s="6"/>
      <c r="P146" s="22"/>
      <c r="Q146" s="6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31"/>
      <c r="B147" s="24"/>
      <c r="C147" s="30"/>
      <c r="D147" s="24"/>
      <c r="E147" s="24"/>
      <c r="F147" s="4"/>
      <c r="G147" s="4"/>
      <c r="H147" s="4"/>
      <c r="I147" s="4"/>
      <c r="J147" s="4"/>
      <c r="K147" s="4"/>
      <c r="L147" s="4"/>
      <c r="M147" s="24"/>
      <c r="N147" s="55"/>
      <c r="O147" s="6"/>
      <c r="P147" s="22"/>
      <c r="Q147" s="6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31"/>
      <c r="B148" s="24"/>
      <c r="C148" s="30"/>
      <c r="D148" s="24"/>
      <c r="E148" s="24"/>
      <c r="F148" s="4"/>
      <c r="G148" s="4"/>
      <c r="H148" s="4"/>
      <c r="I148" s="4"/>
      <c r="J148" s="4"/>
      <c r="K148" s="4"/>
      <c r="L148" s="4"/>
      <c r="M148" s="24"/>
      <c r="N148" s="55"/>
      <c r="O148" s="6"/>
      <c r="P148" s="22"/>
      <c r="Q148" s="6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31"/>
      <c r="B149" s="24"/>
      <c r="C149" s="30"/>
      <c r="D149" s="24"/>
      <c r="E149" s="24"/>
      <c r="F149" s="4"/>
      <c r="G149" s="4"/>
      <c r="H149" s="4"/>
      <c r="I149" s="4"/>
      <c r="J149" s="4"/>
      <c r="K149" s="4"/>
      <c r="L149" s="4"/>
      <c r="M149" s="24"/>
      <c r="N149" s="55"/>
      <c r="O149" s="6"/>
      <c r="P149" s="22"/>
      <c r="Q149" s="6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31"/>
      <c r="B150" s="24"/>
      <c r="C150" s="30"/>
      <c r="D150" s="24"/>
      <c r="E150" s="24"/>
      <c r="F150" s="4"/>
      <c r="G150" s="4"/>
      <c r="H150" s="4"/>
      <c r="I150" s="4"/>
      <c r="J150" s="4"/>
      <c r="K150" s="4"/>
      <c r="L150" s="4"/>
      <c r="M150" s="24"/>
      <c r="N150" s="55"/>
      <c r="O150" s="6"/>
      <c r="P150" s="22"/>
      <c r="Q150" s="6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31"/>
      <c r="B151" s="24"/>
      <c r="C151" s="30"/>
      <c r="D151" s="24"/>
      <c r="E151" s="24"/>
      <c r="F151" s="4"/>
      <c r="G151" s="4"/>
      <c r="H151" s="4"/>
      <c r="I151" s="4"/>
      <c r="J151" s="4"/>
      <c r="K151" s="4"/>
      <c r="L151" s="4"/>
      <c r="M151" s="24"/>
      <c r="N151" s="55"/>
      <c r="O151" s="6"/>
      <c r="P151" s="22"/>
      <c r="Q151" s="6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31"/>
      <c r="B152" s="24"/>
      <c r="C152" s="30"/>
      <c r="D152" s="24"/>
      <c r="E152" s="24"/>
      <c r="F152" s="4"/>
      <c r="G152" s="4"/>
      <c r="H152" s="4"/>
      <c r="I152" s="4"/>
      <c r="J152" s="4"/>
      <c r="K152" s="4"/>
      <c r="L152" s="4"/>
      <c r="M152" s="24"/>
      <c r="N152" s="55"/>
      <c r="O152" s="6"/>
      <c r="P152" s="22"/>
      <c r="Q152" s="6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31"/>
      <c r="B153" s="24"/>
      <c r="C153" s="30"/>
      <c r="D153" s="24"/>
      <c r="E153" s="24"/>
      <c r="F153" s="4"/>
      <c r="G153" s="4"/>
      <c r="H153" s="4"/>
      <c r="I153" s="4"/>
      <c r="J153" s="4"/>
      <c r="K153" s="4"/>
      <c r="L153" s="4"/>
      <c r="M153" s="24"/>
      <c r="N153" s="55"/>
      <c r="O153" s="6"/>
      <c r="P153" s="22"/>
      <c r="Q153" s="6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31"/>
      <c r="B154" s="24"/>
      <c r="C154" s="30"/>
      <c r="D154" s="24"/>
      <c r="E154" s="24"/>
      <c r="F154" s="4"/>
      <c r="G154" s="4"/>
      <c r="H154" s="4"/>
      <c r="I154" s="4"/>
      <c r="J154" s="4"/>
      <c r="K154" s="4"/>
      <c r="L154" s="4"/>
      <c r="M154" s="24"/>
      <c r="N154" s="55"/>
      <c r="O154" s="6"/>
      <c r="P154" s="22"/>
      <c r="Q154" s="6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31"/>
      <c r="B155" s="24"/>
      <c r="C155" s="30"/>
      <c r="D155" s="24"/>
      <c r="E155" s="24"/>
      <c r="F155" s="4"/>
      <c r="G155" s="4"/>
      <c r="H155" s="4"/>
      <c r="I155" s="4"/>
      <c r="J155" s="4"/>
      <c r="K155" s="4"/>
      <c r="L155" s="4"/>
      <c r="M155" s="24"/>
      <c r="N155" s="55"/>
      <c r="O155" s="6"/>
      <c r="P155" s="22"/>
      <c r="Q155" s="6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31"/>
      <c r="B156" s="24"/>
      <c r="C156" s="30"/>
      <c r="D156" s="24"/>
      <c r="E156" s="24"/>
      <c r="F156" s="4"/>
      <c r="G156" s="4"/>
      <c r="H156" s="4"/>
      <c r="I156" s="4"/>
      <c r="J156" s="4"/>
      <c r="K156" s="4"/>
      <c r="L156" s="4"/>
      <c r="M156" s="24"/>
      <c r="N156" s="55"/>
      <c r="O156" s="6"/>
      <c r="P156" s="22"/>
      <c r="Q156" s="6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31"/>
      <c r="B157" s="24"/>
      <c r="C157" s="30"/>
      <c r="D157" s="24"/>
      <c r="E157" s="24"/>
      <c r="F157" s="4"/>
      <c r="G157" s="4"/>
      <c r="H157" s="4"/>
      <c r="I157" s="4"/>
      <c r="J157" s="4"/>
      <c r="K157" s="4"/>
      <c r="L157" s="4"/>
      <c r="M157" s="24"/>
      <c r="N157" s="55"/>
      <c r="O157" s="6"/>
      <c r="P157" s="22"/>
      <c r="Q157" s="6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31"/>
      <c r="B158" s="24"/>
      <c r="C158" s="30"/>
      <c r="D158" s="24"/>
      <c r="E158" s="24"/>
      <c r="F158" s="4"/>
      <c r="G158" s="4"/>
      <c r="H158" s="4"/>
      <c r="I158" s="4"/>
      <c r="J158" s="4"/>
      <c r="K158" s="4"/>
      <c r="L158" s="4"/>
      <c r="M158" s="24"/>
      <c r="N158" s="55"/>
      <c r="O158" s="6"/>
      <c r="P158" s="22"/>
      <c r="Q158" s="6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31"/>
      <c r="B159" s="24"/>
      <c r="C159" s="30"/>
      <c r="D159" s="24"/>
      <c r="E159" s="24"/>
      <c r="F159" s="4"/>
      <c r="G159" s="4"/>
      <c r="H159" s="4"/>
      <c r="I159" s="4"/>
      <c r="J159" s="4"/>
      <c r="K159" s="4"/>
      <c r="L159" s="4"/>
      <c r="M159" s="24"/>
      <c r="N159" s="55"/>
      <c r="O159" s="6"/>
      <c r="P159" s="22"/>
      <c r="Q159" s="6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31"/>
      <c r="B160" s="24"/>
      <c r="C160" s="30"/>
      <c r="D160" s="24"/>
      <c r="E160" s="24"/>
      <c r="F160" s="4"/>
      <c r="G160" s="4"/>
      <c r="H160" s="4"/>
      <c r="I160" s="4"/>
      <c r="J160" s="4"/>
      <c r="K160" s="4"/>
      <c r="L160" s="4"/>
      <c r="M160" s="24"/>
      <c r="N160" s="55"/>
      <c r="O160" s="6"/>
      <c r="P160" s="22"/>
      <c r="Q160" s="6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31"/>
      <c r="B161" s="24"/>
      <c r="C161" s="30"/>
      <c r="D161" s="24"/>
      <c r="E161" s="24"/>
      <c r="F161" s="4"/>
      <c r="G161" s="4"/>
      <c r="H161" s="4"/>
      <c r="I161" s="4"/>
      <c r="J161" s="4"/>
      <c r="K161" s="4"/>
      <c r="L161" s="4"/>
      <c r="M161" s="24"/>
      <c r="N161" s="55"/>
      <c r="O161" s="6"/>
      <c r="P161" s="22"/>
      <c r="Q161" s="6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31"/>
      <c r="B162" s="24"/>
      <c r="C162" s="30"/>
      <c r="D162" s="24"/>
      <c r="E162" s="24"/>
      <c r="F162" s="4"/>
      <c r="G162" s="4"/>
      <c r="H162" s="4"/>
      <c r="I162" s="4"/>
      <c r="J162" s="4"/>
      <c r="K162" s="4"/>
      <c r="L162" s="4"/>
      <c r="M162" s="24"/>
      <c r="N162" s="55"/>
      <c r="O162" s="6"/>
      <c r="P162" s="22"/>
      <c r="Q162" s="6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31"/>
      <c r="B163" s="24"/>
      <c r="C163" s="30"/>
      <c r="D163" s="24"/>
      <c r="E163" s="24"/>
      <c r="F163" s="4"/>
      <c r="G163" s="4"/>
      <c r="H163" s="4"/>
      <c r="I163" s="4"/>
      <c r="J163" s="4"/>
      <c r="K163" s="4"/>
      <c r="L163" s="4"/>
      <c r="M163" s="24"/>
      <c r="N163" s="55"/>
      <c r="O163" s="6"/>
      <c r="P163" s="22"/>
      <c r="Q163" s="6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31"/>
      <c r="B164" s="24"/>
      <c r="C164" s="30"/>
      <c r="D164" s="24"/>
      <c r="E164" s="24"/>
      <c r="F164" s="4"/>
      <c r="G164" s="4"/>
      <c r="H164" s="4"/>
      <c r="I164" s="4"/>
      <c r="J164" s="4"/>
      <c r="K164" s="4"/>
      <c r="L164" s="4"/>
      <c r="M164" s="24"/>
      <c r="N164" s="55"/>
      <c r="O164" s="6"/>
      <c r="P164" s="22"/>
      <c r="Q164" s="6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31"/>
      <c r="B165" s="24"/>
      <c r="C165" s="30"/>
      <c r="D165" s="24"/>
      <c r="E165" s="24"/>
      <c r="F165" s="4"/>
      <c r="G165" s="4"/>
      <c r="H165" s="4"/>
      <c r="I165" s="4"/>
      <c r="J165" s="4"/>
      <c r="K165" s="4"/>
      <c r="L165" s="4"/>
      <c r="M165" s="24"/>
      <c r="N165" s="55"/>
      <c r="O165" s="6"/>
      <c r="P165" s="22"/>
      <c r="Q165" s="6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31"/>
      <c r="B166" s="24"/>
      <c r="C166" s="30"/>
      <c r="D166" s="24"/>
      <c r="E166" s="24"/>
      <c r="F166" s="4"/>
      <c r="G166" s="4"/>
      <c r="H166" s="4"/>
      <c r="I166" s="4"/>
      <c r="J166" s="4"/>
      <c r="K166" s="4"/>
      <c r="L166" s="4"/>
      <c r="M166" s="24"/>
      <c r="N166" s="55"/>
      <c r="O166" s="6"/>
      <c r="P166" s="22"/>
      <c r="Q166" s="6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31"/>
      <c r="B167" s="24"/>
      <c r="C167" s="30"/>
      <c r="D167" s="24"/>
      <c r="E167" s="24"/>
      <c r="F167" s="4"/>
      <c r="G167" s="4"/>
      <c r="H167" s="4"/>
      <c r="I167" s="4"/>
      <c r="J167" s="4"/>
      <c r="K167" s="4"/>
      <c r="L167" s="4"/>
      <c r="M167" s="24"/>
      <c r="N167" s="55"/>
      <c r="O167" s="6"/>
      <c r="P167" s="22"/>
      <c r="Q167" s="6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31"/>
      <c r="B168" s="24"/>
      <c r="C168" s="30"/>
      <c r="D168" s="24"/>
      <c r="E168" s="24"/>
      <c r="F168" s="4"/>
      <c r="G168" s="4"/>
      <c r="H168" s="4"/>
      <c r="I168" s="4"/>
      <c r="J168" s="4"/>
      <c r="K168" s="4"/>
      <c r="L168" s="4"/>
      <c r="M168" s="24"/>
      <c r="N168" s="55"/>
      <c r="O168" s="6"/>
      <c r="P168" s="22"/>
      <c r="Q168" s="6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31"/>
      <c r="B169" s="24"/>
      <c r="C169" s="30"/>
      <c r="D169" s="24"/>
      <c r="E169" s="24"/>
      <c r="F169" s="4"/>
      <c r="G169" s="4"/>
      <c r="H169" s="4"/>
      <c r="I169" s="4"/>
      <c r="J169" s="4"/>
      <c r="K169" s="4"/>
      <c r="L169" s="4"/>
      <c r="M169" s="24"/>
      <c r="N169" s="55"/>
      <c r="O169" s="6"/>
      <c r="P169" s="22"/>
      <c r="Q169" s="6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31"/>
      <c r="B170" s="24"/>
      <c r="C170" s="30"/>
      <c r="D170" s="24"/>
      <c r="E170" s="24"/>
      <c r="F170" s="4"/>
      <c r="G170" s="4"/>
      <c r="H170" s="4"/>
      <c r="I170" s="4"/>
      <c r="J170" s="4"/>
      <c r="K170" s="4"/>
      <c r="L170" s="4"/>
      <c r="M170" s="24"/>
      <c r="N170" s="55"/>
      <c r="O170" s="6"/>
      <c r="P170" s="22"/>
      <c r="Q170" s="6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31"/>
      <c r="B171" s="24"/>
      <c r="C171" s="30"/>
      <c r="D171" s="24"/>
      <c r="E171" s="24"/>
      <c r="F171" s="4"/>
      <c r="G171" s="4"/>
      <c r="H171" s="4"/>
      <c r="I171" s="4"/>
      <c r="J171" s="4"/>
      <c r="K171" s="4"/>
      <c r="L171" s="4"/>
      <c r="M171" s="24"/>
      <c r="N171" s="55"/>
      <c r="O171" s="6"/>
      <c r="P171" s="22"/>
      <c r="Q171" s="6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31"/>
      <c r="B172" s="24"/>
      <c r="C172" s="30"/>
      <c r="D172" s="24"/>
      <c r="E172" s="24"/>
      <c r="F172" s="4"/>
      <c r="G172" s="4"/>
      <c r="H172" s="4"/>
      <c r="I172" s="4"/>
      <c r="J172" s="4"/>
      <c r="K172" s="4"/>
      <c r="L172" s="4"/>
      <c r="M172" s="24"/>
      <c r="N172" s="55"/>
      <c r="O172" s="6"/>
      <c r="P172" s="22"/>
      <c r="Q172" s="6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31"/>
      <c r="B173" s="24"/>
      <c r="C173" s="30"/>
      <c r="D173" s="24"/>
      <c r="E173" s="24"/>
      <c r="F173" s="4"/>
      <c r="G173" s="4"/>
      <c r="H173" s="4"/>
      <c r="I173" s="4"/>
      <c r="J173" s="4"/>
      <c r="K173" s="4"/>
      <c r="L173" s="4"/>
      <c r="M173" s="24"/>
      <c r="N173" s="55"/>
      <c r="O173" s="6"/>
      <c r="P173" s="22"/>
      <c r="Q173" s="6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31"/>
      <c r="B174" s="24"/>
      <c r="C174" s="30"/>
      <c r="D174" s="24"/>
      <c r="E174" s="24"/>
      <c r="F174" s="4"/>
      <c r="G174" s="4"/>
      <c r="H174" s="4"/>
      <c r="I174" s="4"/>
      <c r="J174" s="4"/>
      <c r="K174" s="4"/>
      <c r="L174" s="4"/>
      <c r="M174" s="24"/>
      <c r="N174" s="55"/>
      <c r="O174" s="6"/>
      <c r="P174" s="22"/>
      <c r="Q174" s="6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31"/>
      <c r="B175" s="24"/>
      <c r="C175" s="30"/>
      <c r="D175" s="24"/>
      <c r="E175" s="24"/>
      <c r="F175" s="4"/>
      <c r="G175" s="4"/>
      <c r="H175" s="4"/>
      <c r="I175" s="4"/>
      <c r="J175" s="4"/>
      <c r="K175" s="4"/>
      <c r="L175" s="4"/>
      <c r="M175" s="24"/>
      <c r="N175" s="55"/>
      <c r="O175" s="6"/>
      <c r="P175" s="22"/>
      <c r="Q175" s="6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31"/>
      <c r="B176" s="24"/>
      <c r="C176" s="30"/>
      <c r="D176" s="24"/>
      <c r="E176" s="24"/>
      <c r="F176" s="4"/>
      <c r="G176" s="4"/>
      <c r="H176" s="4"/>
      <c r="I176" s="4"/>
      <c r="J176" s="4"/>
      <c r="K176" s="4"/>
      <c r="L176" s="4"/>
      <c r="M176" s="24"/>
      <c r="N176" s="55"/>
      <c r="O176" s="6"/>
      <c r="P176" s="22"/>
      <c r="Q176" s="6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31"/>
      <c r="B177" s="24"/>
      <c r="C177" s="30"/>
      <c r="D177" s="24"/>
      <c r="E177" s="24"/>
      <c r="F177" s="4"/>
      <c r="G177" s="4"/>
      <c r="H177" s="4"/>
      <c r="I177" s="4"/>
      <c r="J177" s="4"/>
      <c r="K177" s="4"/>
      <c r="L177" s="4"/>
      <c r="M177" s="24"/>
      <c r="N177" s="55"/>
      <c r="O177" s="6"/>
      <c r="P177" s="22"/>
      <c r="Q177" s="6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31"/>
      <c r="B178" s="24"/>
      <c r="C178" s="30"/>
      <c r="D178" s="24"/>
      <c r="E178" s="24"/>
      <c r="F178" s="4"/>
      <c r="G178" s="4"/>
      <c r="H178" s="4"/>
      <c r="I178" s="4"/>
      <c r="J178" s="4"/>
      <c r="K178" s="4"/>
      <c r="L178" s="4"/>
      <c r="M178" s="24"/>
      <c r="N178" s="55"/>
      <c r="O178" s="6"/>
      <c r="P178" s="22"/>
      <c r="Q178" s="6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31"/>
      <c r="B179" s="24"/>
      <c r="C179" s="30"/>
      <c r="D179" s="24"/>
      <c r="E179" s="24"/>
      <c r="F179" s="4"/>
      <c r="G179" s="4"/>
      <c r="H179" s="4"/>
      <c r="I179" s="4"/>
      <c r="J179" s="4"/>
      <c r="K179" s="4"/>
      <c r="L179" s="4"/>
      <c r="M179" s="24"/>
      <c r="N179" s="55"/>
      <c r="O179" s="6"/>
      <c r="P179" s="22"/>
      <c r="Q179" s="6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31"/>
      <c r="B180" s="24"/>
      <c r="C180" s="30"/>
      <c r="D180" s="24"/>
      <c r="E180" s="24"/>
      <c r="F180" s="4"/>
      <c r="G180" s="4"/>
      <c r="H180" s="4"/>
      <c r="I180" s="4"/>
      <c r="J180" s="4"/>
      <c r="K180" s="4"/>
      <c r="L180" s="4"/>
      <c r="M180" s="24"/>
      <c r="N180" s="55"/>
      <c r="O180" s="6"/>
      <c r="P180" s="22"/>
      <c r="Q180" s="6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31"/>
      <c r="B181" s="24"/>
      <c r="C181" s="30"/>
      <c r="D181" s="24"/>
      <c r="E181" s="24"/>
      <c r="F181" s="4"/>
      <c r="G181" s="4"/>
      <c r="H181" s="4"/>
      <c r="I181" s="4"/>
      <c r="J181" s="4"/>
      <c r="K181" s="4"/>
      <c r="L181" s="4"/>
      <c r="M181" s="24"/>
      <c r="N181" s="55"/>
      <c r="O181" s="6"/>
      <c r="P181" s="22"/>
      <c r="Q181" s="6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31"/>
      <c r="B182" s="24"/>
      <c r="C182" s="30"/>
      <c r="D182" s="24"/>
      <c r="E182" s="24"/>
      <c r="F182" s="4"/>
      <c r="G182" s="4"/>
      <c r="H182" s="4"/>
      <c r="I182" s="4"/>
      <c r="J182" s="4"/>
      <c r="K182" s="4"/>
      <c r="L182" s="4"/>
      <c r="M182" s="24"/>
      <c r="N182" s="55"/>
      <c r="O182" s="6"/>
      <c r="P182" s="22"/>
      <c r="Q182" s="6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31"/>
      <c r="B183" s="24"/>
      <c r="C183" s="30"/>
      <c r="D183" s="24"/>
      <c r="E183" s="24"/>
      <c r="F183" s="4"/>
      <c r="G183" s="4"/>
      <c r="H183" s="4"/>
      <c r="I183" s="4"/>
      <c r="J183" s="4"/>
      <c r="K183" s="4"/>
      <c r="L183" s="4"/>
      <c r="M183" s="24"/>
      <c r="N183" s="55"/>
      <c r="O183" s="6"/>
      <c r="P183" s="22"/>
      <c r="Q183" s="6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31"/>
      <c r="B184" s="24"/>
      <c r="C184" s="30"/>
      <c r="D184" s="24"/>
      <c r="E184" s="24"/>
      <c r="F184" s="4"/>
      <c r="G184" s="4"/>
      <c r="H184" s="4"/>
      <c r="I184" s="4"/>
      <c r="J184" s="4"/>
      <c r="K184" s="4"/>
      <c r="L184" s="4"/>
      <c r="M184" s="24"/>
      <c r="N184" s="55"/>
      <c r="O184" s="6"/>
      <c r="P184" s="22"/>
      <c r="Q184" s="6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31"/>
      <c r="B185" s="24"/>
      <c r="C185" s="30"/>
      <c r="D185" s="24"/>
      <c r="E185" s="24"/>
      <c r="F185" s="4"/>
      <c r="G185" s="4"/>
      <c r="H185" s="4"/>
      <c r="I185" s="4"/>
      <c r="J185" s="4"/>
      <c r="K185" s="4"/>
      <c r="L185" s="4"/>
      <c r="M185" s="24"/>
      <c r="N185" s="55"/>
      <c r="O185" s="6"/>
      <c r="P185" s="22"/>
      <c r="Q185" s="6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31"/>
      <c r="B186" s="24"/>
      <c r="C186" s="30"/>
      <c r="D186" s="24"/>
      <c r="E186" s="24"/>
      <c r="F186" s="4"/>
      <c r="G186" s="4"/>
      <c r="H186" s="4"/>
      <c r="I186" s="4"/>
      <c r="J186" s="4"/>
      <c r="K186" s="4"/>
      <c r="L186" s="4"/>
      <c r="M186" s="24"/>
      <c r="N186" s="55"/>
      <c r="O186" s="6"/>
      <c r="P186" s="22"/>
      <c r="Q186" s="6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31"/>
      <c r="B187" s="24"/>
      <c r="C187" s="30"/>
      <c r="D187" s="24"/>
      <c r="E187" s="24"/>
      <c r="F187" s="4"/>
      <c r="G187" s="4"/>
      <c r="H187" s="4"/>
      <c r="I187" s="4"/>
      <c r="J187" s="4"/>
      <c r="K187" s="4"/>
      <c r="L187" s="4"/>
      <c r="M187" s="24"/>
      <c r="N187" s="55"/>
      <c r="O187" s="6"/>
      <c r="P187" s="22"/>
      <c r="Q187" s="6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31"/>
      <c r="B188" s="24"/>
      <c r="C188" s="30"/>
      <c r="D188" s="24"/>
      <c r="E188" s="24"/>
      <c r="F188" s="4"/>
      <c r="G188" s="4"/>
      <c r="H188" s="4"/>
      <c r="I188" s="4"/>
      <c r="J188" s="4"/>
      <c r="K188" s="4"/>
      <c r="L188" s="4"/>
      <c r="M188" s="24"/>
      <c r="N188" s="55"/>
      <c r="O188" s="6"/>
      <c r="P188" s="22"/>
      <c r="Q188" s="6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31"/>
      <c r="B189" s="24"/>
      <c r="C189" s="30"/>
      <c r="D189" s="24"/>
      <c r="E189" s="24"/>
      <c r="F189" s="4"/>
      <c r="G189" s="4"/>
      <c r="H189" s="4"/>
      <c r="I189" s="4"/>
      <c r="J189" s="4"/>
      <c r="K189" s="4"/>
      <c r="L189" s="4"/>
      <c r="M189" s="24"/>
      <c r="N189" s="55"/>
      <c r="O189" s="6"/>
      <c r="P189" s="22"/>
      <c r="Q189" s="6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31"/>
      <c r="B190" s="24"/>
      <c r="C190" s="30"/>
      <c r="D190" s="24"/>
      <c r="E190" s="24"/>
      <c r="F190" s="4"/>
      <c r="G190" s="4"/>
      <c r="H190" s="4"/>
      <c r="I190" s="4"/>
      <c r="J190" s="4"/>
      <c r="K190" s="4"/>
      <c r="L190" s="4"/>
      <c r="M190" s="24"/>
      <c r="N190" s="55"/>
      <c r="O190" s="6"/>
      <c r="P190" s="22"/>
      <c r="Q190" s="6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31"/>
      <c r="B191" s="24"/>
      <c r="C191" s="30"/>
      <c r="D191" s="24"/>
      <c r="E191" s="24"/>
      <c r="F191" s="4"/>
      <c r="G191" s="4"/>
      <c r="H191" s="4"/>
      <c r="I191" s="4"/>
      <c r="J191" s="4"/>
      <c r="K191" s="4"/>
      <c r="L191" s="4"/>
      <c r="M191" s="24"/>
      <c r="N191" s="55"/>
      <c r="O191" s="6"/>
      <c r="P191" s="22"/>
      <c r="Q191" s="6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31"/>
      <c r="B192" s="24"/>
      <c r="C192" s="30"/>
      <c r="D192" s="24"/>
      <c r="E192" s="24"/>
      <c r="F192" s="4"/>
      <c r="G192" s="4"/>
      <c r="H192" s="4"/>
      <c r="I192" s="4"/>
      <c r="J192" s="4"/>
      <c r="K192" s="4"/>
      <c r="L192" s="4"/>
      <c r="M192" s="24"/>
      <c r="N192" s="55"/>
      <c r="O192" s="6"/>
      <c r="P192" s="22"/>
      <c r="Q192" s="6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31"/>
      <c r="B193" s="24"/>
      <c r="C193" s="30"/>
      <c r="D193" s="24"/>
      <c r="E193" s="24"/>
      <c r="F193" s="4"/>
      <c r="G193" s="4"/>
      <c r="H193" s="4"/>
      <c r="I193" s="4"/>
      <c r="J193" s="4"/>
      <c r="K193" s="4"/>
      <c r="L193" s="4"/>
      <c r="M193" s="24"/>
      <c r="N193" s="55"/>
      <c r="O193" s="6"/>
      <c r="P193" s="22"/>
      <c r="Q193" s="6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31"/>
      <c r="B194" s="24"/>
      <c r="C194" s="30"/>
      <c r="D194" s="24"/>
      <c r="E194" s="24"/>
      <c r="F194" s="4"/>
      <c r="G194" s="4"/>
      <c r="H194" s="4"/>
      <c r="I194" s="4"/>
      <c r="J194" s="4"/>
      <c r="K194" s="4"/>
      <c r="L194" s="4"/>
      <c r="M194" s="24"/>
      <c r="N194" s="55"/>
      <c r="O194" s="6"/>
      <c r="P194" s="22"/>
      <c r="Q194" s="6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31"/>
      <c r="B195" s="24"/>
      <c r="C195" s="30"/>
      <c r="D195" s="24"/>
      <c r="E195" s="24"/>
      <c r="F195" s="4"/>
      <c r="G195" s="4"/>
      <c r="H195" s="4"/>
      <c r="I195" s="4"/>
      <c r="J195" s="4"/>
      <c r="K195" s="4"/>
      <c r="L195" s="4"/>
      <c r="M195" s="24"/>
      <c r="N195" s="55"/>
      <c r="O195" s="6"/>
      <c r="P195" s="22"/>
      <c r="Q195" s="6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31"/>
      <c r="B196" s="24"/>
      <c r="C196" s="30"/>
      <c r="D196" s="24"/>
      <c r="E196" s="24"/>
      <c r="F196" s="4"/>
      <c r="G196" s="4"/>
      <c r="H196" s="4"/>
      <c r="I196" s="4"/>
      <c r="J196" s="4"/>
      <c r="K196" s="4"/>
      <c r="L196" s="4"/>
      <c r="M196" s="24"/>
      <c r="N196" s="55"/>
      <c r="O196" s="6"/>
      <c r="P196" s="22"/>
      <c r="Q196" s="6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31"/>
      <c r="B197" s="24"/>
      <c r="C197" s="30"/>
      <c r="D197" s="24"/>
      <c r="E197" s="24"/>
      <c r="F197" s="4"/>
      <c r="G197" s="4"/>
      <c r="H197" s="4"/>
      <c r="I197" s="4"/>
      <c r="J197" s="4"/>
      <c r="K197" s="4"/>
      <c r="L197" s="4"/>
      <c r="M197" s="24"/>
      <c r="N197" s="55"/>
      <c r="O197" s="6"/>
      <c r="P197" s="22"/>
      <c r="Q197" s="6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31"/>
      <c r="B198" s="24"/>
      <c r="C198" s="30"/>
      <c r="D198" s="24"/>
      <c r="E198" s="24"/>
      <c r="F198" s="4"/>
      <c r="G198" s="4"/>
      <c r="H198" s="4"/>
      <c r="I198" s="4"/>
      <c r="J198" s="4"/>
      <c r="K198" s="4"/>
      <c r="L198" s="4"/>
      <c r="M198" s="24"/>
      <c r="N198" s="55"/>
      <c r="O198" s="6"/>
      <c r="P198" s="22"/>
      <c r="Q198" s="6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31"/>
      <c r="B199" s="24"/>
      <c r="C199" s="30"/>
      <c r="D199" s="24"/>
      <c r="E199" s="24"/>
      <c r="F199" s="4"/>
      <c r="G199" s="4"/>
      <c r="H199" s="4"/>
      <c r="I199" s="4"/>
      <c r="J199" s="4"/>
      <c r="K199" s="4"/>
      <c r="L199" s="4"/>
      <c r="M199" s="24"/>
      <c r="N199" s="55"/>
      <c r="O199" s="6"/>
      <c r="P199" s="22"/>
      <c r="Q199" s="6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31"/>
      <c r="B200" s="24"/>
      <c r="C200" s="30"/>
      <c r="D200" s="24"/>
      <c r="E200" s="24"/>
      <c r="F200" s="4"/>
      <c r="G200" s="4"/>
      <c r="H200" s="4"/>
      <c r="I200" s="4"/>
      <c r="J200" s="4"/>
      <c r="K200" s="4"/>
      <c r="L200" s="4"/>
      <c r="M200" s="24"/>
      <c r="N200" s="55"/>
      <c r="O200" s="6"/>
      <c r="P200" s="22"/>
      <c r="Q200" s="6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31"/>
      <c r="B201" s="24"/>
      <c r="C201" s="30"/>
      <c r="D201" s="24"/>
      <c r="E201" s="24"/>
      <c r="F201" s="4"/>
      <c r="G201" s="4"/>
      <c r="H201" s="4"/>
      <c r="I201" s="4"/>
      <c r="J201" s="4"/>
      <c r="K201" s="4"/>
      <c r="L201" s="4"/>
      <c r="M201" s="24"/>
      <c r="N201" s="55"/>
      <c r="O201" s="6"/>
      <c r="P201" s="22"/>
      <c r="Q201" s="6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31"/>
      <c r="B202" s="24"/>
      <c r="C202" s="30"/>
      <c r="D202" s="24"/>
      <c r="E202" s="24"/>
      <c r="F202" s="4"/>
      <c r="G202" s="4"/>
      <c r="H202" s="4"/>
      <c r="I202" s="4"/>
      <c r="J202" s="4"/>
      <c r="K202" s="4"/>
      <c r="L202" s="4"/>
      <c r="M202" s="24"/>
      <c r="N202" s="55"/>
      <c r="O202" s="6"/>
      <c r="P202" s="22"/>
      <c r="Q202" s="6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31"/>
      <c r="B203" s="24"/>
      <c r="C203" s="30"/>
      <c r="D203" s="24"/>
      <c r="E203" s="24"/>
      <c r="F203" s="4"/>
      <c r="G203" s="4"/>
      <c r="H203" s="4"/>
      <c r="I203" s="4"/>
      <c r="J203" s="4"/>
      <c r="K203" s="4"/>
      <c r="L203" s="4"/>
      <c r="M203" s="24"/>
      <c r="N203" s="55"/>
      <c r="O203" s="6"/>
      <c r="P203" s="22"/>
      <c r="Q203" s="6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31"/>
      <c r="B204" s="24"/>
      <c r="C204" s="30"/>
      <c r="D204" s="24"/>
      <c r="E204" s="24"/>
      <c r="F204" s="4"/>
      <c r="G204" s="4"/>
      <c r="H204" s="4"/>
      <c r="I204" s="4"/>
      <c r="J204" s="4"/>
      <c r="K204" s="4"/>
      <c r="L204" s="4"/>
      <c r="M204" s="24"/>
      <c r="N204" s="55"/>
      <c r="O204" s="6"/>
      <c r="P204" s="22"/>
      <c r="Q204" s="6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31"/>
      <c r="B205" s="24"/>
      <c r="C205" s="30"/>
      <c r="D205" s="24"/>
      <c r="E205" s="24"/>
      <c r="F205" s="4"/>
      <c r="G205" s="4"/>
      <c r="H205" s="4"/>
      <c r="I205" s="4"/>
      <c r="J205" s="4"/>
      <c r="K205" s="4"/>
      <c r="L205" s="4"/>
      <c r="M205" s="24"/>
      <c r="N205" s="55"/>
      <c r="O205" s="6"/>
      <c r="P205" s="22"/>
      <c r="Q205" s="6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31"/>
      <c r="B206" s="24"/>
      <c r="C206" s="30"/>
      <c r="D206" s="24"/>
      <c r="E206" s="24"/>
      <c r="F206" s="4"/>
      <c r="G206" s="4"/>
      <c r="H206" s="4"/>
      <c r="I206" s="4"/>
      <c r="J206" s="4"/>
      <c r="K206" s="4"/>
      <c r="L206" s="4"/>
      <c r="M206" s="24"/>
      <c r="N206" s="55"/>
      <c r="O206" s="6"/>
      <c r="P206" s="22"/>
      <c r="Q206" s="6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31"/>
      <c r="B207" s="24"/>
      <c r="C207" s="30"/>
      <c r="D207" s="24"/>
      <c r="E207" s="24"/>
      <c r="F207" s="4"/>
      <c r="G207" s="4"/>
      <c r="H207" s="4"/>
      <c r="I207" s="4"/>
      <c r="J207" s="4"/>
      <c r="K207" s="4"/>
      <c r="L207" s="4"/>
      <c r="M207" s="24"/>
      <c r="N207" s="55"/>
      <c r="O207" s="6"/>
      <c r="P207" s="22"/>
      <c r="Q207" s="6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31"/>
      <c r="B208" s="24"/>
      <c r="C208" s="30"/>
      <c r="D208" s="24"/>
      <c r="E208" s="24"/>
      <c r="F208" s="4"/>
      <c r="G208" s="4"/>
      <c r="H208" s="4"/>
      <c r="I208" s="4"/>
      <c r="J208" s="4"/>
      <c r="K208" s="4"/>
      <c r="L208" s="4"/>
      <c r="M208" s="24"/>
      <c r="N208" s="55"/>
      <c r="O208" s="6"/>
      <c r="P208" s="22"/>
      <c r="Q208" s="6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31"/>
      <c r="B209" s="24"/>
      <c r="C209" s="30"/>
      <c r="D209" s="24"/>
      <c r="E209" s="24"/>
      <c r="F209" s="4"/>
      <c r="G209" s="4"/>
      <c r="H209" s="4"/>
      <c r="I209" s="4"/>
      <c r="J209" s="4"/>
      <c r="K209" s="4"/>
      <c r="L209" s="4"/>
      <c r="M209" s="24"/>
      <c r="N209" s="55"/>
      <c r="O209" s="6"/>
      <c r="P209" s="22"/>
      <c r="Q209" s="6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31"/>
      <c r="B210" s="24"/>
      <c r="C210" s="30"/>
      <c r="D210" s="24"/>
      <c r="E210" s="24"/>
      <c r="F210" s="4"/>
      <c r="G210" s="4"/>
      <c r="H210" s="4"/>
      <c r="I210" s="4"/>
      <c r="J210" s="4"/>
      <c r="K210" s="4"/>
      <c r="L210" s="4"/>
      <c r="M210" s="24"/>
      <c r="N210" s="55"/>
      <c r="O210" s="6"/>
      <c r="P210" s="22"/>
      <c r="Q210" s="6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31"/>
      <c r="B211" s="24"/>
      <c r="C211" s="30"/>
      <c r="D211" s="24"/>
      <c r="E211" s="24"/>
      <c r="F211" s="4"/>
      <c r="G211" s="4"/>
      <c r="H211" s="4"/>
      <c r="I211" s="4"/>
      <c r="J211" s="4"/>
      <c r="K211" s="4"/>
      <c r="L211" s="4"/>
      <c r="M211" s="24"/>
      <c r="N211" s="55"/>
      <c r="O211" s="6"/>
      <c r="P211" s="22"/>
      <c r="Q211" s="6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31"/>
      <c r="B212" s="24"/>
      <c r="C212" s="30"/>
      <c r="D212" s="24"/>
      <c r="E212" s="24"/>
      <c r="F212" s="4"/>
      <c r="G212" s="4"/>
      <c r="H212" s="4"/>
      <c r="I212" s="4"/>
      <c r="J212" s="4"/>
      <c r="K212" s="4"/>
      <c r="L212" s="4"/>
      <c r="M212" s="24"/>
      <c r="N212" s="55"/>
      <c r="O212" s="6"/>
      <c r="P212" s="22"/>
      <c r="Q212" s="6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31"/>
      <c r="B213" s="24"/>
      <c r="C213" s="30"/>
      <c r="D213" s="24"/>
      <c r="E213" s="24"/>
      <c r="F213" s="4"/>
      <c r="G213" s="4"/>
      <c r="H213" s="4"/>
      <c r="I213" s="4"/>
      <c r="J213" s="4"/>
      <c r="K213" s="4"/>
      <c r="L213" s="4"/>
      <c r="M213" s="24"/>
      <c r="N213" s="55"/>
      <c r="O213" s="6"/>
      <c r="P213" s="22"/>
      <c r="Q213" s="6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31"/>
      <c r="B214" s="24"/>
      <c r="C214" s="30"/>
      <c r="D214" s="24"/>
      <c r="E214" s="24"/>
      <c r="F214" s="4"/>
      <c r="G214" s="4"/>
      <c r="H214" s="4"/>
      <c r="I214" s="4"/>
      <c r="J214" s="4"/>
      <c r="K214" s="4"/>
      <c r="L214" s="4"/>
      <c r="M214" s="24"/>
      <c r="N214" s="55"/>
      <c r="O214" s="6"/>
      <c r="P214" s="22"/>
      <c r="Q214" s="6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31"/>
      <c r="B215" s="24"/>
      <c r="C215" s="30"/>
      <c r="D215" s="24"/>
      <c r="E215" s="24"/>
      <c r="F215" s="4"/>
      <c r="G215" s="4"/>
      <c r="H215" s="4"/>
      <c r="I215" s="4"/>
      <c r="J215" s="4"/>
      <c r="K215" s="4"/>
      <c r="L215" s="4"/>
      <c r="M215" s="24"/>
      <c r="N215" s="55"/>
      <c r="O215" s="6"/>
      <c r="P215" s="22"/>
      <c r="Q215" s="6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31"/>
      <c r="B216" s="24"/>
      <c r="C216" s="30"/>
      <c r="D216" s="24"/>
      <c r="E216" s="24"/>
      <c r="F216" s="4"/>
      <c r="G216" s="4"/>
      <c r="H216" s="4"/>
      <c r="I216" s="4"/>
      <c r="J216" s="4"/>
      <c r="K216" s="4"/>
      <c r="L216" s="4"/>
      <c r="M216" s="24"/>
      <c r="N216" s="55"/>
      <c r="O216" s="6"/>
      <c r="P216" s="22"/>
      <c r="Q216" s="6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31"/>
      <c r="B217" s="24"/>
      <c r="C217" s="30"/>
      <c r="D217" s="24"/>
      <c r="E217" s="24"/>
      <c r="F217" s="4"/>
      <c r="G217" s="4"/>
      <c r="H217" s="4"/>
      <c r="I217" s="4"/>
      <c r="J217" s="4"/>
      <c r="K217" s="4"/>
      <c r="L217" s="4"/>
      <c r="M217" s="24"/>
      <c r="N217" s="55"/>
      <c r="O217" s="6"/>
      <c r="P217" s="22"/>
      <c r="Q217" s="6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31"/>
      <c r="B218" s="24"/>
      <c r="C218" s="30"/>
      <c r="D218" s="24"/>
      <c r="E218" s="24"/>
      <c r="F218" s="4"/>
      <c r="G218" s="4"/>
      <c r="H218" s="4"/>
      <c r="I218" s="4"/>
      <c r="J218" s="4"/>
      <c r="K218" s="4"/>
      <c r="L218" s="4"/>
      <c r="M218" s="24"/>
      <c r="N218" s="55"/>
      <c r="O218" s="6"/>
      <c r="P218" s="22"/>
      <c r="Q218" s="6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31"/>
      <c r="B219" s="24"/>
      <c r="C219" s="30"/>
      <c r="D219" s="24"/>
      <c r="E219" s="24"/>
      <c r="F219" s="4"/>
      <c r="G219" s="4"/>
      <c r="H219" s="4"/>
      <c r="I219" s="4"/>
      <c r="J219" s="4"/>
      <c r="K219" s="4"/>
      <c r="L219" s="4"/>
      <c r="M219" s="24"/>
      <c r="N219" s="55"/>
      <c r="O219" s="6"/>
      <c r="P219" s="22"/>
      <c r="Q219" s="6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31"/>
      <c r="B220" s="24"/>
      <c r="C220" s="30"/>
      <c r="D220" s="24"/>
      <c r="E220" s="24"/>
      <c r="F220" s="4"/>
      <c r="G220" s="4"/>
      <c r="H220" s="4"/>
      <c r="I220" s="4"/>
      <c r="J220" s="4"/>
      <c r="K220" s="4"/>
      <c r="L220" s="4"/>
      <c r="M220" s="24"/>
      <c r="N220" s="55"/>
      <c r="O220" s="6"/>
      <c r="P220" s="22"/>
      <c r="Q220" s="6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31"/>
      <c r="B221" s="24"/>
      <c r="C221" s="30"/>
      <c r="D221" s="24"/>
      <c r="E221" s="24"/>
      <c r="F221" s="4"/>
      <c r="G221" s="4"/>
      <c r="H221" s="4"/>
      <c r="I221" s="4"/>
      <c r="J221" s="4"/>
      <c r="K221" s="4"/>
      <c r="L221" s="4"/>
      <c r="M221" s="24"/>
      <c r="N221" s="55"/>
      <c r="O221" s="6"/>
      <c r="P221" s="22"/>
      <c r="Q221" s="6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31"/>
      <c r="B222" s="24"/>
      <c r="C222" s="30"/>
      <c r="D222" s="24"/>
      <c r="E222" s="24"/>
      <c r="F222" s="4"/>
      <c r="G222" s="4"/>
      <c r="H222" s="4"/>
      <c r="I222" s="4"/>
      <c r="J222" s="4"/>
      <c r="K222" s="4"/>
      <c r="L222" s="4"/>
      <c r="M222" s="24"/>
      <c r="N222" s="55"/>
      <c r="O222" s="6"/>
      <c r="P222" s="22"/>
      <c r="Q222" s="6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31"/>
      <c r="B223" s="24"/>
      <c r="C223" s="30"/>
      <c r="D223" s="24"/>
      <c r="E223" s="24"/>
      <c r="F223" s="4"/>
      <c r="G223" s="4"/>
      <c r="H223" s="4"/>
      <c r="I223" s="4"/>
      <c r="J223" s="4"/>
      <c r="K223" s="4"/>
      <c r="L223" s="4"/>
      <c r="M223" s="24"/>
      <c r="N223" s="55"/>
      <c r="O223" s="6"/>
      <c r="P223" s="22"/>
      <c r="Q223" s="6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31"/>
      <c r="B224" s="24"/>
      <c r="C224" s="30"/>
      <c r="D224" s="24"/>
      <c r="E224" s="24"/>
      <c r="F224" s="4"/>
      <c r="G224" s="4"/>
      <c r="H224" s="4"/>
      <c r="I224" s="4"/>
      <c r="J224" s="4"/>
      <c r="K224" s="4"/>
      <c r="L224" s="4"/>
      <c r="M224" s="24"/>
      <c r="N224" s="55"/>
      <c r="O224" s="6"/>
      <c r="P224" s="22"/>
      <c r="Q224" s="6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31"/>
      <c r="B225" s="24"/>
      <c r="C225" s="30"/>
      <c r="D225" s="24"/>
      <c r="E225" s="24"/>
      <c r="F225" s="4"/>
      <c r="G225" s="4"/>
      <c r="H225" s="4"/>
      <c r="I225" s="4"/>
      <c r="J225" s="4"/>
      <c r="K225" s="4"/>
      <c r="L225" s="4"/>
      <c r="M225" s="24"/>
      <c r="N225" s="55"/>
      <c r="O225" s="6"/>
      <c r="P225" s="22"/>
      <c r="Q225" s="6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31"/>
      <c r="B226" s="24"/>
      <c r="C226" s="30"/>
      <c r="D226" s="24"/>
      <c r="E226" s="24"/>
      <c r="F226" s="4"/>
      <c r="G226" s="4"/>
      <c r="H226" s="4"/>
      <c r="I226" s="4"/>
      <c r="J226" s="4"/>
      <c r="K226" s="4"/>
      <c r="L226" s="4"/>
      <c r="M226" s="24"/>
      <c r="N226" s="55"/>
      <c r="O226" s="6"/>
      <c r="P226" s="22"/>
      <c r="Q226" s="6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31"/>
      <c r="B227" s="24"/>
      <c r="C227" s="30"/>
      <c r="D227" s="24"/>
      <c r="E227" s="24"/>
      <c r="F227" s="4"/>
      <c r="G227" s="4"/>
      <c r="H227" s="4"/>
      <c r="I227" s="4"/>
      <c r="J227" s="4"/>
      <c r="K227" s="4"/>
      <c r="L227" s="4"/>
      <c r="M227" s="24"/>
      <c r="N227" s="55"/>
      <c r="O227" s="6"/>
      <c r="P227" s="22"/>
      <c r="Q227" s="6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31"/>
      <c r="B228" s="24"/>
      <c r="C228" s="30"/>
      <c r="D228" s="24"/>
      <c r="E228" s="24"/>
      <c r="F228" s="4"/>
      <c r="G228" s="4"/>
      <c r="H228" s="4"/>
      <c r="I228" s="4"/>
      <c r="J228" s="4"/>
      <c r="K228" s="4"/>
      <c r="L228" s="4"/>
      <c r="M228" s="24"/>
      <c r="N228" s="55"/>
      <c r="O228" s="6"/>
      <c r="P228" s="22"/>
      <c r="Q228" s="6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31"/>
      <c r="B229" s="24"/>
      <c r="C229" s="30"/>
      <c r="D229" s="24"/>
      <c r="E229" s="24"/>
      <c r="F229" s="4"/>
      <c r="G229" s="4"/>
      <c r="H229" s="4"/>
      <c r="I229" s="4"/>
      <c r="J229" s="4"/>
      <c r="K229" s="4"/>
      <c r="L229" s="4"/>
      <c r="M229" s="24"/>
      <c r="N229" s="55"/>
      <c r="O229" s="6"/>
      <c r="P229" s="22"/>
      <c r="Q229" s="6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31"/>
      <c r="B230" s="24"/>
      <c r="C230" s="30"/>
      <c r="D230" s="24"/>
      <c r="E230" s="24"/>
      <c r="F230" s="4"/>
      <c r="G230" s="4"/>
      <c r="H230" s="4"/>
      <c r="I230" s="4"/>
      <c r="J230" s="4"/>
      <c r="K230" s="4"/>
      <c r="L230" s="4"/>
      <c r="M230" s="24"/>
      <c r="N230" s="55"/>
      <c r="O230" s="6"/>
      <c r="P230" s="22"/>
      <c r="Q230" s="6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31"/>
      <c r="B231" s="24"/>
      <c r="C231" s="30"/>
      <c r="D231" s="24"/>
      <c r="E231" s="24"/>
      <c r="F231" s="4"/>
      <c r="G231" s="4"/>
      <c r="H231" s="4"/>
      <c r="I231" s="4"/>
      <c r="J231" s="4"/>
      <c r="K231" s="4"/>
      <c r="L231" s="4"/>
      <c r="M231" s="24"/>
      <c r="N231" s="55"/>
      <c r="O231" s="6"/>
      <c r="P231" s="22"/>
      <c r="Q231" s="6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31"/>
      <c r="B232" s="24"/>
      <c r="C232" s="30"/>
      <c r="D232" s="24"/>
      <c r="E232" s="24"/>
      <c r="F232" s="4"/>
      <c r="G232" s="4"/>
      <c r="H232" s="4"/>
      <c r="I232" s="4"/>
      <c r="J232" s="4"/>
      <c r="K232" s="4"/>
      <c r="L232" s="4"/>
      <c r="M232" s="24"/>
      <c r="N232" s="55"/>
      <c r="O232" s="6"/>
      <c r="P232" s="22"/>
      <c r="Q232" s="6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31"/>
      <c r="B233" s="24"/>
      <c r="C233" s="30"/>
      <c r="D233" s="24"/>
      <c r="E233" s="24"/>
      <c r="F233" s="4"/>
      <c r="G233" s="4"/>
      <c r="H233" s="4"/>
      <c r="I233" s="4"/>
      <c r="J233" s="4"/>
      <c r="K233" s="4"/>
      <c r="L233" s="4"/>
      <c r="M233" s="24"/>
      <c r="N233" s="55"/>
      <c r="O233" s="6"/>
      <c r="P233" s="22"/>
      <c r="Q233" s="6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31"/>
      <c r="B234" s="24"/>
      <c r="C234" s="30"/>
      <c r="D234" s="24"/>
      <c r="E234" s="24"/>
      <c r="F234" s="4"/>
      <c r="G234" s="4"/>
      <c r="H234" s="4"/>
      <c r="I234" s="4"/>
      <c r="J234" s="4"/>
      <c r="K234" s="4"/>
      <c r="L234" s="4"/>
      <c r="M234" s="24"/>
      <c r="N234" s="55"/>
      <c r="O234" s="6"/>
      <c r="P234" s="22"/>
      <c r="Q234" s="6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31"/>
      <c r="B235" s="24"/>
      <c r="C235" s="30"/>
      <c r="D235" s="24"/>
      <c r="E235" s="24"/>
      <c r="F235" s="4"/>
      <c r="G235" s="4"/>
      <c r="H235" s="4"/>
      <c r="I235" s="4"/>
      <c r="J235" s="4"/>
      <c r="K235" s="4"/>
      <c r="L235" s="4"/>
      <c r="M235" s="24"/>
      <c r="N235" s="55"/>
      <c r="O235" s="6"/>
      <c r="P235" s="22"/>
      <c r="Q235" s="6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31"/>
      <c r="B236" s="24"/>
      <c r="C236" s="30"/>
      <c r="D236" s="24"/>
      <c r="E236" s="24"/>
      <c r="F236" s="4"/>
      <c r="G236" s="4"/>
      <c r="H236" s="4"/>
      <c r="I236" s="4"/>
      <c r="J236" s="4"/>
      <c r="K236" s="4"/>
      <c r="L236" s="4"/>
      <c r="M236" s="24"/>
      <c r="N236" s="55"/>
      <c r="O236" s="6"/>
      <c r="P236" s="22"/>
      <c r="Q236" s="6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31"/>
      <c r="B237" s="24"/>
      <c r="C237" s="30"/>
      <c r="D237" s="24"/>
      <c r="E237" s="24"/>
      <c r="F237" s="4"/>
      <c r="G237" s="4"/>
      <c r="H237" s="4"/>
      <c r="I237" s="4"/>
      <c r="J237" s="4"/>
      <c r="K237" s="4"/>
      <c r="L237" s="4"/>
      <c r="M237" s="24"/>
      <c r="N237" s="55"/>
      <c r="O237" s="6"/>
      <c r="P237" s="22"/>
      <c r="Q237" s="6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31"/>
      <c r="B238" s="24"/>
      <c r="C238" s="30"/>
      <c r="D238" s="24"/>
      <c r="E238" s="24"/>
      <c r="F238" s="4"/>
      <c r="G238" s="4"/>
      <c r="H238" s="4"/>
      <c r="I238" s="4"/>
      <c r="J238" s="4"/>
      <c r="K238" s="4"/>
      <c r="L238" s="4"/>
      <c r="M238" s="24"/>
      <c r="N238" s="55"/>
      <c r="O238" s="6"/>
      <c r="P238" s="22"/>
      <c r="Q238" s="6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31"/>
      <c r="B239" s="24"/>
      <c r="C239" s="30"/>
      <c r="D239" s="24"/>
      <c r="E239" s="24"/>
      <c r="F239" s="4"/>
      <c r="G239" s="4"/>
      <c r="H239" s="4"/>
      <c r="I239" s="4"/>
      <c r="J239" s="4"/>
      <c r="K239" s="4"/>
      <c r="L239" s="4"/>
      <c r="M239" s="24"/>
      <c r="N239" s="55"/>
      <c r="O239" s="6"/>
      <c r="P239" s="22"/>
      <c r="Q239" s="6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31"/>
      <c r="B240" s="24"/>
      <c r="C240" s="30"/>
      <c r="D240" s="24"/>
      <c r="E240" s="24"/>
      <c r="F240" s="4"/>
      <c r="G240" s="4"/>
      <c r="H240" s="4"/>
      <c r="I240" s="4"/>
      <c r="J240" s="4"/>
      <c r="K240" s="4"/>
      <c r="L240" s="4"/>
      <c r="M240" s="24"/>
      <c r="N240" s="55"/>
      <c r="O240" s="6"/>
      <c r="P240" s="22"/>
      <c r="Q240" s="6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31"/>
      <c r="B241" s="24"/>
      <c r="C241" s="30"/>
      <c r="D241" s="24"/>
      <c r="E241" s="24"/>
      <c r="F241" s="4"/>
      <c r="G241" s="4"/>
      <c r="H241" s="4"/>
      <c r="I241" s="4"/>
      <c r="J241" s="4"/>
      <c r="K241" s="4"/>
      <c r="L241" s="4"/>
      <c r="M241" s="24"/>
      <c r="N241" s="55"/>
      <c r="O241" s="6"/>
      <c r="P241" s="22"/>
      <c r="Q241" s="6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31"/>
      <c r="B242" s="24"/>
      <c r="C242" s="30"/>
      <c r="D242" s="24"/>
      <c r="E242" s="24"/>
      <c r="F242" s="4"/>
      <c r="G242" s="4"/>
      <c r="H242" s="4"/>
      <c r="I242" s="4"/>
      <c r="J242" s="4"/>
      <c r="K242" s="4"/>
      <c r="L242" s="4"/>
      <c r="M242" s="24"/>
      <c r="N242" s="55"/>
      <c r="O242" s="6"/>
      <c r="P242" s="22"/>
      <c r="Q242" s="6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31"/>
      <c r="B243" s="24"/>
      <c r="C243" s="30"/>
      <c r="D243" s="24"/>
      <c r="E243" s="24"/>
      <c r="F243" s="4"/>
      <c r="G243" s="4"/>
      <c r="H243" s="4"/>
      <c r="I243" s="4"/>
      <c r="J243" s="4"/>
      <c r="K243" s="4"/>
      <c r="L243" s="4"/>
      <c r="M243" s="24"/>
      <c r="N243" s="55"/>
      <c r="O243" s="6"/>
      <c r="P243" s="22"/>
      <c r="Q243" s="6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31"/>
      <c r="B244" s="24"/>
      <c r="C244" s="30"/>
      <c r="D244" s="24"/>
      <c r="E244" s="24"/>
      <c r="F244" s="4"/>
      <c r="G244" s="4"/>
      <c r="H244" s="4"/>
      <c r="I244" s="4"/>
      <c r="J244" s="4"/>
      <c r="K244" s="4"/>
      <c r="L244" s="4"/>
      <c r="M244" s="24"/>
      <c r="N244" s="55"/>
      <c r="O244" s="6"/>
      <c r="P244" s="22"/>
      <c r="Q244" s="6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31"/>
      <c r="B245" s="24"/>
      <c r="C245" s="30"/>
      <c r="D245" s="24"/>
      <c r="E245" s="24"/>
      <c r="F245" s="4"/>
      <c r="G245" s="4"/>
      <c r="H245" s="4"/>
      <c r="I245" s="4"/>
      <c r="J245" s="4"/>
      <c r="K245" s="4"/>
      <c r="L245" s="4"/>
      <c r="M245" s="24"/>
      <c r="N245" s="55"/>
      <c r="O245" s="6"/>
      <c r="P245" s="22"/>
      <c r="Q245" s="6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31"/>
      <c r="B246" s="24"/>
      <c r="C246" s="30"/>
      <c r="D246" s="24"/>
      <c r="E246" s="24"/>
      <c r="F246" s="4"/>
      <c r="G246" s="4"/>
      <c r="H246" s="4"/>
      <c r="I246" s="4"/>
      <c r="J246" s="4"/>
      <c r="K246" s="4"/>
      <c r="L246" s="4"/>
      <c r="M246" s="24"/>
      <c r="N246" s="55"/>
      <c r="O246" s="6"/>
      <c r="P246" s="22"/>
      <c r="Q246" s="6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31"/>
      <c r="B247" s="24"/>
      <c r="C247" s="30"/>
      <c r="D247" s="24"/>
      <c r="E247" s="24"/>
      <c r="F247" s="4"/>
      <c r="G247" s="4"/>
      <c r="H247" s="4"/>
      <c r="I247" s="4"/>
      <c r="J247" s="4"/>
      <c r="K247" s="4"/>
      <c r="L247" s="4"/>
      <c r="M247" s="24"/>
      <c r="N247" s="55"/>
      <c r="O247" s="6"/>
      <c r="P247" s="22"/>
      <c r="Q247" s="6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31"/>
      <c r="B248" s="24"/>
      <c r="C248" s="30"/>
      <c r="D248" s="24"/>
      <c r="E248" s="24"/>
      <c r="F248" s="4"/>
      <c r="G248" s="4"/>
      <c r="H248" s="4"/>
      <c r="I248" s="4"/>
      <c r="J248" s="4"/>
      <c r="K248" s="4"/>
      <c r="L248" s="4"/>
      <c r="M248" s="24"/>
      <c r="N248" s="55"/>
      <c r="O248" s="6"/>
      <c r="P248" s="22"/>
      <c r="Q248" s="6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31"/>
      <c r="B249" s="24"/>
      <c r="C249" s="30"/>
      <c r="D249" s="24"/>
      <c r="E249" s="24"/>
      <c r="F249" s="4"/>
      <c r="G249" s="4"/>
      <c r="H249" s="4"/>
      <c r="I249" s="4"/>
      <c r="J249" s="4"/>
      <c r="K249" s="4"/>
      <c r="L249" s="4"/>
      <c r="M249" s="24"/>
      <c r="N249" s="55"/>
      <c r="O249" s="6"/>
      <c r="P249" s="22"/>
      <c r="Q249" s="6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31"/>
      <c r="B250" s="24"/>
      <c r="C250" s="30"/>
      <c r="D250" s="24"/>
      <c r="E250" s="24"/>
      <c r="F250" s="4"/>
      <c r="G250" s="4"/>
      <c r="H250" s="4"/>
      <c r="I250" s="4"/>
      <c r="J250" s="4"/>
      <c r="K250" s="4"/>
      <c r="L250" s="4"/>
      <c r="M250" s="24"/>
      <c r="N250" s="55"/>
      <c r="O250" s="6"/>
      <c r="P250" s="22"/>
      <c r="Q250" s="6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31"/>
      <c r="B251" s="24"/>
      <c r="C251" s="30"/>
      <c r="D251" s="24"/>
      <c r="E251" s="24"/>
      <c r="F251" s="4"/>
      <c r="G251" s="4"/>
      <c r="H251" s="4"/>
      <c r="I251" s="4"/>
      <c r="J251" s="4"/>
      <c r="K251" s="4"/>
      <c r="L251" s="4"/>
      <c r="M251" s="24"/>
      <c r="N251" s="55"/>
      <c r="O251" s="6"/>
      <c r="P251" s="22"/>
      <c r="Q251" s="6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31"/>
      <c r="B252" s="24"/>
      <c r="C252" s="30"/>
      <c r="D252" s="24"/>
      <c r="E252" s="24"/>
      <c r="F252" s="4"/>
      <c r="G252" s="4"/>
      <c r="H252" s="4"/>
      <c r="I252" s="4"/>
      <c r="J252" s="4"/>
      <c r="K252" s="4"/>
      <c r="L252" s="4"/>
      <c r="M252" s="24"/>
      <c r="N252" s="55"/>
      <c r="O252" s="6"/>
      <c r="P252" s="22"/>
      <c r="Q252" s="6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31"/>
      <c r="B253" s="24"/>
      <c r="C253" s="30"/>
      <c r="D253" s="24"/>
      <c r="E253" s="24"/>
      <c r="F253" s="4"/>
      <c r="G253" s="4"/>
      <c r="H253" s="4"/>
      <c r="I253" s="4"/>
      <c r="J253" s="4"/>
      <c r="K253" s="4"/>
      <c r="L253" s="4"/>
      <c r="M253" s="24"/>
      <c r="N253" s="55"/>
      <c r="O253" s="6"/>
      <c r="P253" s="22"/>
      <c r="Q253" s="6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31"/>
      <c r="B254" s="24"/>
      <c r="C254" s="30"/>
      <c r="D254" s="24"/>
      <c r="E254" s="24"/>
      <c r="F254" s="4"/>
      <c r="G254" s="4"/>
      <c r="H254" s="4"/>
      <c r="I254" s="4"/>
      <c r="J254" s="4"/>
      <c r="K254" s="4"/>
      <c r="L254" s="4"/>
      <c r="M254" s="24"/>
      <c r="N254" s="55"/>
      <c r="O254" s="6"/>
      <c r="P254" s="22"/>
      <c r="Q254" s="6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31"/>
      <c r="B255" s="24"/>
      <c r="C255" s="30"/>
      <c r="D255" s="24"/>
      <c r="E255" s="24"/>
      <c r="F255" s="4"/>
      <c r="G255" s="4"/>
      <c r="H255" s="4"/>
      <c r="I255" s="4"/>
      <c r="J255" s="4"/>
      <c r="K255" s="4"/>
      <c r="L255" s="4"/>
      <c r="M255" s="24"/>
      <c r="N255" s="55"/>
      <c r="O255" s="6"/>
      <c r="P255" s="22"/>
      <c r="Q255" s="6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31"/>
      <c r="B256" s="24"/>
      <c r="C256" s="30"/>
      <c r="D256" s="24"/>
      <c r="E256" s="24"/>
      <c r="F256" s="4"/>
      <c r="G256" s="4"/>
      <c r="H256" s="4"/>
      <c r="I256" s="4"/>
      <c r="J256" s="4"/>
      <c r="K256" s="4"/>
      <c r="L256" s="4"/>
      <c r="M256" s="24"/>
      <c r="N256" s="55"/>
      <c r="O256" s="6"/>
      <c r="P256" s="22"/>
      <c r="Q256" s="6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31"/>
      <c r="B257" s="24"/>
      <c r="C257" s="30"/>
      <c r="D257" s="24"/>
      <c r="E257" s="24"/>
      <c r="F257" s="4"/>
      <c r="G257" s="4"/>
      <c r="H257" s="4"/>
      <c r="I257" s="4"/>
      <c r="J257" s="4"/>
      <c r="K257" s="4"/>
      <c r="L257" s="4"/>
      <c r="M257" s="24"/>
      <c r="N257" s="55"/>
      <c r="O257" s="6"/>
      <c r="P257" s="22"/>
      <c r="Q257" s="6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31"/>
      <c r="B258" s="24"/>
      <c r="C258" s="30"/>
      <c r="D258" s="24"/>
      <c r="E258" s="24"/>
      <c r="F258" s="4"/>
      <c r="G258" s="4"/>
      <c r="H258" s="4"/>
      <c r="I258" s="4"/>
      <c r="J258" s="4"/>
      <c r="K258" s="4"/>
      <c r="L258" s="4"/>
      <c r="M258" s="24"/>
      <c r="N258" s="55"/>
      <c r="O258" s="6"/>
      <c r="P258" s="22"/>
      <c r="Q258" s="6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31"/>
      <c r="B259" s="24"/>
      <c r="C259" s="30"/>
      <c r="D259" s="24"/>
      <c r="E259" s="24"/>
      <c r="F259" s="4"/>
      <c r="G259" s="4"/>
      <c r="H259" s="4"/>
      <c r="I259" s="4"/>
      <c r="J259" s="4"/>
      <c r="K259" s="4"/>
      <c r="L259" s="4"/>
      <c r="M259" s="24"/>
      <c r="N259" s="55"/>
      <c r="O259" s="6"/>
      <c r="P259" s="22"/>
      <c r="Q259" s="6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31"/>
      <c r="B260" s="24"/>
      <c r="C260" s="30"/>
      <c r="D260" s="24"/>
      <c r="E260" s="24"/>
      <c r="F260" s="4"/>
      <c r="G260" s="4"/>
      <c r="H260" s="4"/>
      <c r="I260" s="4"/>
      <c r="J260" s="4"/>
      <c r="K260" s="4"/>
      <c r="L260" s="4"/>
      <c r="M260" s="24"/>
      <c r="N260" s="55"/>
      <c r="O260" s="6"/>
      <c r="P260" s="22"/>
      <c r="Q260" s="6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31"/>
      <c r="B261" s="24"/>
      <c r="C261" s="30"/>
      <c r="D261" s="24"/>
      <c r="E261" s="24"/>
      <c r="F261" s="4"/>
      <c r="G261" s="4"/>
      <c r="H261" s="4"/>
      <c r="I261" s="4"/>
      <c r="J261" s="4"/>
      <c r="K261" s="4"/>
      <c r="L261" s="4"/>
      <c r="M261" s="24"/>
      <c r="N261" s="55"/>
      <c r="O261" s="6"/>
      <c r="P261" s="22"/>
      <c r="Q261" s="6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31"/>
      <c r="B262" s="24"/>
      <c r="C262" s="30"/>
      <c r="D262" s="24"/>
      <c r="E262" s="24"/>
      <c r="F262" s="4"/>
      <c r="G262" s="4"/>
      <c r="H262" s="4"/>
      <c r="I262" s="4"/>
      <c r="J262" s="4"/>
      <c r="K262" s="4"/>
      <c r="L262" s="4"/>
      <c r="M262" s="24"/>
      <c r="N262" s="55"/>
      <c r="O262" s="6"/>
      <c r="P262" s="22"/>
      <c r="Q262" s="6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31"/>
      <c r="B263" s="24"/>
      <c r="C263" s="30"/>
      <c r="D263" s="24"/>
      <c r="E263" s="24"/>
      <c r="F263" s="4"/>
      <c r="G263" s="4"/>
      <c r="H263" s="4"/>
      <c r="I263" s="4"/>
      <c r="J263" s="4"/>
      <c r="K263" s="4"/>
      <c r="L263" s="4"/>
      <c r="M263" s="24"/>
      <c r="N263" s="55"/>
      <c r="O263" s="6"/>
      <c r="P263" s="22"/>
      <c r="Q263" s="6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31"/>
      <c r="B264" s="24"/>
      <c r="C264" s="30"/>
      <c r="D264" s="24"/>
      <c r="E264" s="24"/>
      <c r="F264" s="4"/>
      <c r="G264" s="4"/>
      <c r="H264" s="4"/>
      <c r="I264" s="4"/>
      <c r="J264" s="4"/>
      <c r="K264" s="4"/>
      <c r="L264" s="4"/>
      <c r="M264" s="24"/>
      <c r="N264" s="55"/>
      <c r="O264" s="6"/>
      <c r="P264" s="22"/>
      <c r="Q264" s="6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31"/>
      <c r="B265" s="24"/>
      <c r="C265" s="30"/>
      <c r="D265" s="24"/>
      <c r="E265" s="24"/>
      <c r="F265" s="4"/>
      <c r="G265" s="4"/>
      <c r="H265" s="4"/>
      <c r="I265" s="4"/>
      <c r="J265" s="4"/>
      <c r="K265" s="4"/>
      <c r="L265" s="4"/>
      <c r="M265" s="24"/>
      <c r="N265" s="55"/>
      <c r="O265" s="6"/>
      <c r="P265" s="22"/>
      <c r="Q265" s="6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31"/>
      <c r="B266" s="24"/>
      <c r="C266" s="30"/>
      <c r="D266" s="24"/>
      <c r="E266" s="24"/>
      <c r="F266" s="4"/>
      <c r="G266" s="4"/>
      <c r="H266" s="4"/>
      <c r="I266" s="4"/>
      <c r="J266" s="4"/>
      <c r="K266" s="4"/>
      <c r="L266" s="4"/>
      <c r="M266" s="24"/>
      <c r="N266" s="55"/>
      <c r="O266" s="6"/>
      <c r="P266" s="22"/>
      <c r="Q266" s="6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31"/>
      <c r="B267" s="24"/>
      <c r="C267" s="30"/>
      <c r="D267" s="24"/>
      <c r="E267" s="24"/>
      <c r="F267" s="4"/>
      <c r="G267" s="4"/>
      <c r="H267" s="4"/>
      <c r="I267" s="4"/>
      <c r="J267" s="4"/>
      <c r="K267" s="4"/>
      <c r="L267" s="4"/>
      <c r="M267" s="24"/>
      <c r="N267" s="55"/>
      <c r="O267" s="6"/>
      <c r="P267" s="22"/>
      <c r="Q267" s="6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31"/>
      <c r="B268" s="24"/>
      <c r="C268" s="30"/>
      <c r="D268" s="24"/>
      <c r="E268" s="24"/>
      <c r="F268" s="4"/>
      <c r="G268" s="4"/>
      <c r="H268" s="4"/>
      <c r="I268" s="4"/>
      <c r="J268" s="4"/>
      <c r="K268" s="4"/>
      <c r="L268" s="4"/>
      <c r="M268" s="24"/>
      <c r="N268" s="55"/>
      <c r="O268" s="6"/>
      <c r="P268" s="22"/>
      <c r="Q268" s="6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31"/>
      <c r="B269" s="24"/>
      <c r="C269" s="30"/>
      <c r="D269" s="24"/>
      <c r="E269" s="24"/>
      <c r="F269" s="4"/>
      <c r="G269" s="4"/>
      <c r="H269" s="4"/>
      <c r="I269" s="4"/>
      <c r="J269" s="4"/>
      <c r="K269" s="4"/>
      <c r="L269" s="4"/>
      <c r="M269" s="24"/>
      <c r="N269" s="55"/>
      <c r="O269" s="6"/>
      <c r="P269" s="22"/>
      <c r="Q269" s="6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31"/>
      <c r="B270" s="24"/>
      <c r="C270" s="30"/>
      <c r="D270" s="24"/>
      <c r="E270" s="24"/>
      <c r="F270" s="4"/>
      <c r="G270" s="4"/>
      <c r="H270" s="4"/>
      <c r="I270" s="4"/>
      <c r="J270" s="4"/>
      <c r="K270" s="4"/>
      <c r="L270" s="4"/>
      <c r="M270" s="24"/>
      <c r="N270" s="55"/>
      <c r="O270" s="6"/>
      <c r="P270" s="22"/>
      <c r="Q270" s="6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31"/>
      <c r="B271" s="24"/>
      <c r="C271" s="30"/>
      <c r="D271" s="24"/>
      <c r="E271" s="24"/>
      <c r="F271" s="4"/>
      <c r="G271" s="4"/>
      <c r="H271" s="4"/>
      <c r="I271" s="4"/>
      <c r="J271" s="4"/>
      <c r="K271" s="4"/>
      <c r="L271" s="4"/>
      <c r="M271" s="24"/>
      <c r="N271" s="55"/>
      <c r="O271" s="6"/>
      <c r="P271" s="22"/>
      <c r="Q271" s="6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M9:O10"/>
    <mergeCell ref="O14:O15"/>
    <mergeCell ref="A1:C1"/>
    <mergeCell ref="A3:O3"/>
    <mergeCell ref="A4:O4"/>
    <mergeCell ref="C14:D15"/>
    <mergeCell ref="A14:A15"/>
    <mergeCell ref="B14:B15"/>
    <mergeCell ref="E14:E15"/>
    <mergeCell ref="F14:G14"/>
    <mergeCell ref="I14:J14"/>
    <mergeCell ref="K14:L14"/>
    <mergeCell ref="M14:M15"/>
    <mergeCell ref="N14:N1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1000"/>
  <sheetViews>
    <sheetView workbookViewId="0"/>
  </sheetViews>
  <sheetFormatPr defaultColWidth="11.33203125" defaultRowHeight="15" customHeight="1"/>
  <cols>
    <col min="1" max="1" width="3.88671875" customWidth="1"/>
    <col min="2" max="2" width="7" customWidth="1"/>
    <col min="3" max="3" width="18.33203125" customWidth="1"/>
    <col min="4" max="4" width="7.5546875" customWidth="1"/>
    <col min="5" max="5" width="7.44140625" customWidth="1"/>
    <col min="6" max="12" width="9.6640625" customWidth="1"/>
    <col min="13" max="13" width="10.44140625" customWidth="1"/>
    <col min="14" max="14" width="7" customWidth="1"/>
    <col min="15" max="15" width="4.5546875" customWidth="1"/>
    <col min="16" max="16" width="4.6640625" hidden="1" customWidth="1"/>
    <col min="17" max="26" width="8.88671875" customWidth="1"/>
  </cols>
  <sheetData>
    <row r="1" spans="1:26">
      <c r="A1" s="251" t="s">
        <v>131</v>
      </c>
      <c r="B1" s="288"/>
      <c r="C1" s="288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"/>
      <c r="W1" s="2"/>
      <c r="X1" s="6"/>
      <c r="Y1" s="6"/>
      <c r="Z1" s="6"/>
    </row>
    <row r="2" spans="1:26" ht="14.25" customHeight="1">
      <c r="A2" s="7" t="s">
        <v>132</v>
      </c>
      <c r="B2" s="7"/>
      <c r="C2" s="7"/>
      <c r="D2" s="7"/>
      <c r="E2" s="6"/>
      <c r="F2" s="6"/>
      <c r="G2" s="6"/>
      <c r="H2" s="6"/>
      <c r="I2" s="6"/>
      <c r="J2" s="6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4"/>
      <c r="W2" s="2"/>
      <c r="X2" s="6"/>
      <c r="Y2" s="6"/>
      <c r="Z2" s="6"/>
    </row>
    <row r="3" spans="1:26" ht="23.25" customHeight="1">
      <c r="A3" s="279" t="s">
        <v>368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</row>
    <row r="4" spans="1:26" ht="17.25" customHeight="1">
      <c r="A4" s="260" t="s">
        <v>134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11"/>
      <c r="P4" s="11"/>
      <c r="Q4" s="11"/>
      <c r="R4" s="11"/>
      <c r="S4" s="11"/>
      <c r="T4" s="11"/>
      <c r="U4" s="11"/>
      <c r="V4" s="11"/>
      <c r="W4" s="11"/>
      <c r="X4" s="11"/>
      <c r="Y4" s="12"/>
      <c r="Z4" s="12"/>
    </row>
    <row r="5" spans="1:26">
      <c r="A5" s="13" t="s">
        <v>135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5"/>
      <c r="T5" s="5"/>
      <c r="U5" s="14"/>
      <c r="V5" s="5"/>
      <c r="W5" s="5"/>
      <c r="X5" s="5"/>
      <c r="Y5" s="5"/>
      <c r="Z5" s="5"/>
    </row>
    <row r="6" spans="1:26" ht="15.75" customHeight="1">
      <c r="A6" s="13" t="s">
        <v>136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277" t="s">
        <v>140</v>
      </c>
      <c r="N6" s="288"/>
      <c r="O6" s="3"/>
      <c r="P6" s="3"/>
      <c r="Q6" s="3"/>
      <c r="R6" s="3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3" t="s">
        <v>137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288"/>
      <c r="N7" s="288"/>
      <c r="O7" s="3"/>
      <c r="P7" s="3"/>
      <c r="Q7" s="3"/>
      <c r="R7" s="3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13" t="s">
        <v>138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4"/>
      <c r="V8" s="5"/>
      <c r="W8" s="5"/>
      <c r="X8" s="5"/>
      <c r="Y8" s="5"/>
      <c r="Z8" s="5"/>
    </row>
    <row r="9" spans="1:26" ht="15.75" customHeight="1">
      <c r="A9" s="13" t="s">
        <v>139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4"/>
      <c r="V9" s="5"/>
      <c r="W9" s="5"/>
      <c r="X9" s="5"/>
      <c r="Y9" s="5"/>
      <c r="Z9" s="5"/>
    </row>
    <row r="10" spans="1:26" ht="15.75" customHeight="1">
      <c r="A10" s="13" t="s">
        <v>141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  <c r="V10" s="5"/>
      <c r="W10" s="5"/>
      <c r="X10" s="5"/>
      <c r="Y10" s="5"/>
      <c r="Z10" s="5"/>
    </row>
    <row r="11" spans="1:26" ht="11.25" customHeight="1">
      <c r="A11" s="86"/>
      <c r="B11" s="87"/>
      <c r="C11" s="87"/>
      <c r="D11" s="87"/>
      <c r="E11" s="87"/>
      <c r="F11" s="87"/>
      <c r="G11" s="88"/>
      <c r="H11" s="89"/>
      <c r="I11" s="89"/>
      <c r="J11" s="89"/>
      <c r="K11" s="287"/>
      <c r="L11" s="288"/>
      <c r="M11" s="89"/>
      <c r="N11" s="90"/>
      <c r="O11" s="91"/>
      <c r="P11" s="39"/>
      <c r="Q11" s="39"/>
      <c r="R11" s="286"/>
      <c r="S11" s="288"/>
      <c r="T11" s="39"/>
      <c r="U11" s="39"/>
      <c r="V11" s="39"/>
      <c r="W11" s="39"/>
      <c r="X11" s="39"/>
      <c r="Y11" s="39"/>
      <c r="Z11" s="39"/>
    </row>
    <row r="12" spans="1:26" ht="7.5" customHeight="1">
      <c r="A12" s="16"/>
      <c r="B12" s="2"/>
      <c r="C12" s="2"/>
      <c r="D12" s="2"/>
      <c r="E12" s="2"/>
      <c r="F12" s="2"/>
      <c r="G12" s="2"/>
      <c r="H12" s="2"/>
      <c r="I12" s="2"/>
      <c r="J12" s="2"/>
      <c r="K12" s="92"/>
      <c r="L12" s="92"/>
      <c r="M12" s="2"/>
      <c r="N12" s="2"/>
      <c r="O12" s="9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4.25" customHeight="1">
      <c r="A13" s="94" t="s">
        <v>144</v>
      </c>
      <c r="B13" s="95" t="s">
        <v>145</v>
      </c>
      <c r="C13" s="280" t="s">
        <v>146</v>
      </c>
      <c r="D13" s="289"/>
      <c r="E13" s="96" t="s">
        <v>369</v>
      </c>
      <c r="F13" s="205" t="s">
        <v>370</v>
      </c>
      <c r="G13" s="205" t="s">
        <v>371</v>
      </c>
      <c r="H13" s="205" t="s">
        <v>372</v>
      </c>
      <c r="I13" s="205" t="s">
        <v>373</v>
      </c>
      <c r="J13" s="205" t="s">
        <v>374</v>
      </c>
      <c r="K13" s="205" t="s">
        <v>375</v>
      </c>
      <c r="L13" s="205" t="s">
        <v>376</v>
      </c>
      <c r="M13" s="206" t="s">
        <v>377</v>
      </c>
      <c r="N13" s="17" t="s">
        <v>378</v>
      </c>
      <c r="O13" s="9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hidden="1" customHeight="1">
      <c r="A14" s="56">
        <v>1</v>
      </c>
      <c r="B14" s="18" t="s">
        <v>162</v>
      </c>
      <c r="C14" s="57" t="s">
        <v>163</v>
      </c>
      <c r="D14" s="58" t="s">
        <v>164</v>
      </c>
      <c r="E14" s="18" t="s">
        <v>165</v>
      </c>
      <c r="F14" s="98" t="e">
        <f>VLOOKUP(B14,#REF!,21,0)</f>
        <v>#REF!</v>
      </c>
      <c r="G14" s="99" t="e">
        <f>VLOOKUP(B14,#REF!,21,0)</f>
        <v>#REF!</v>
      </c>
      <c r="H14" s="100">
        <v>5</v>
      </c>
      <c r="I14" s="101" t="e">
        <f>VLOOKUP(B14,#REF!,30,0)</f>
        <v>#REF!</v>
      </c>
      <c r="J14" s="102" t="e">
        <f>VLOOKUP(B14,#REF!,13,0)</f>
        <v>#REF!</v>
      </c>
      <c r="K14" s="103" t="e">
        <f>VLOOKUP(B14,#REF!,16,0)</f>
        <v>#REF!</v>
      </c>
      <c r="L14" s="104" t="e">
        <f>VLOOKUP(B14,#REF!,13,0)</f>
        <v>#REF!</v>
      </c>
      <c r="M14" s="105" t="e">
        <f t="shared" ref="M14:M69" si="0">(F14*0.05+G14*0.05+H14*0.15+I14*0.15+J14*0.2+K14*0.15+L14*0.25)</f>
        <v>#REF!</v>
      </c>
      <c r="N14" s="106" t="e">
        <f t="shared" ref="N14:N69" si="1">M14</f>
        <v>#REF!</v>
      </c>
      <c r="O14" s="107" t="e">
        <f t="shared" ref="O14:O70" si="2">IF(N14&lt;4.5,"Fail","")</f>
        <v>#REF!</v>
      </c>
      <c r="P14" s="108" t="e">
        <f t="shared" ref="P14:P62" si="3">IF(N14&gt;=6.5,"CMU","")</f>
        <v>#REF!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.5" hidden="1" customHeight="1">
      <c r="A15" s="25">
        <v>2</v>
      </c>
      <c r="B15" s="21" t="s">
        <v>166</v>
      </c>
      <c r="C15" s="62" t="s">
        <v>167</v>
      </c>
      <c r="D15" s="63" t="s">
        <v>168</v>
      </c>
      <c r="E15" s="21" t="s">
        <v>169</v>
      </c>
      <c r="F15" s="109" t="e">
        <f>VLOOKUP(B15,#REF!,21,0)</f>
        <v>#REF!</v>
      </c>
      <c r="G15" s="110" t="e">
        <f>VLOOKUP(B15,#REF!,21,0)</f>
        <v>#REF!</v>
      </c>
      <c r="H15" s="111">
        <v>4</v>
      </c>
      <c r="I15" s="112" t="e">
        <f>VLOOKUP(B15,#REF!,30,0)</f>
        <v>#REF!</v>
      </c>
      <c r="J15" s="113" t="e">
        <f>VLOOKUP(B15,#REF!,13,0)</f>
        <v>#REF!</v>
      </c>
      <c r="K15" s="114" t="e">
        <f>VLOOKUP(B15,#REF!,16,0)</f>
        <v>#REF!</v>
      </c>
      <c r="L15" s="115" t="e">
        <f>VLOOKUP(B15,#REF!,13,0)</f>
        <v>#REF!</v>
      </c>
      <c r="M15" s="116" t="e">
        <f t="shared" si="0"/>
        <v>#REF!</v>
      </c>
      <c r="N15" s="117" t="e">
        <f t="shared" si="1"/>
        <v>#REF!</v>
      </c>
      <c r="O15" s="107" t="e">
        <f t="shared" si="2"/>
        <v>#REF!</v>
      </c>
      <c r="P15" s="108" t="e">
        <f t="shared" si="3"/>
        <v>#REF!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.5" hidden="1" customHeight="1">
      <c r="A16" s="25">
        <v>3</v>
      </c>
      <c r="B16" s="21" t="s">
        <v>170</v>
      </c>
      <c r="C16" s="62" t="s">
        <v>171</v>
      </c>
      <c r="D16" s="63" t="s">
        <v>172</v>
      </c>
      <c r="E16" s="21" t="s">
        <v>173</v>
      </c>
      <c r="F16" s="109" t="e">
        <f>VLOOKUP(B16,#REF!,21,0)</f>
        <v>#REF!</v>
      </c>
      <c r="G16" s="110" t="e">
        <f>VLOOKUP(B16,#REF!,21,0)</f>
        <v>#REF!</v>
      </c>
      <c r="H16" s="118">
        <v>7</v>
      </c>
      <c r="I16" s="112" t="e">
        <f>VLOOKUP(B16,#REF!,30,0)</f>
        <v>#REF!</v>
      </c>
      <c r="J16" s="113" t="e">
        <f>VLOOKUP(B16,#REF!,13,0)</f>
        <v>#REF!</v>
      </c>
      <c r="K16" s="114" t="e">
        <f>VLOOKUP(B16,#REF!,16,0)</f>
        <v>#REF!</v>
      </c>
      <c r="L16" s="115" t="e">
        <f>VLOOKUP(B16,#REF!,13,0)</f>
        <v>#REF!</v>
      </c>
      <c r="M16" s="116" t="e">
        <f t="shared" si="0"/>
        <v>#REF!</v>
      </c>
      <c r="N16" s="119" t="e">
        <f t="shared" si="1"/>
        <v>#REF!</v>
      </c>
      <c r="O16" s="107" t="e">
        <f t="shared" si="2"/>
        <v>#REF!</v>
      </c>
      <c r="P16" s="108" t="e">
        <f t="shared" si="3"/>
        <v>#REF!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2.5" hidden="1" customHeight="1">
      <c r="A17" s="25">
        <v>4</v>
      </c>
      <c r="B17" s="21" t="s">
        <v>174</v>
      </c>
      <c r="C17" s="62" t="s">
        <v>175</v>
      </c>
      <c r="D17" s="63" t="s">
        <v>176</v>
      </c>
      <c r="E17" s="21" t="s">
        <v>177</v>
      </c>
      <c r="F17" s="109" t="e">
        <f>VLOOKUP(B17,#REF!,21,0)</f>
        <v>#REF!</v>
      </c>
      <c r="G17" s="110" t="e">
        <f>VLOOKUP(B17,#REF!,21,0)</f>
        <v>#REF!</v>
      </c>
      <c r="H17" s="111">
        <v>5</v>
      </c>
      <c r="I17" s="112" t="e">
        <f>VLOOKUP(B17,#REF!,30,0)</f>
        <v>#REF!</v>
      </c>
      <c r="J17" s="113" t="e">
        <f>VLOOKUP(B17,#REF!,13,0)</f>
        <v>#REF!</v>
      </c>
      <c r="K17" s="114" t="e">
        <f>VLOOKUP(B17,#REF!,16,0)</f>
        <v>#REF!</v>
      </c>
      <c r="L17" s="115" t="e">
        <f>VLOOKUP(B17,#REF!,13,0)</f>
        <v>#REF!</v>
      </c>
      <c r="M17" s="116" t="e">
        <f t="shared" si="0"/>
        <v>#REF!</v>
      </c>
      <c r="N17" s="117" t="e">
        <f t="shared" si="1"/>
        <v>#REF!</v>
      </c>
      <c r="O17" s="107" t="e">
        <f t="shared" si="2"/>
        <v>#REF!</v>
      </c>
      <c r="P17" s="108" t="e">
        <f t="shared" si="3"/>
        <v>#REF!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.5" hidden="1" customHeight="1">
      <c r="A18" s="25">
        <v>5</v>
      </c>
      <c r="B18" s="21" t="s">
        <v>178</v>
      </c>
      <c r="C18" s="62" t="s">
        <v>179</v>
      </c>
      <c r="D18" s="63" t="s">
        <v>180</v>
      </c>
      <c r="E18" s="21" t="s">
        <v>181</v>
      </c>
      <c r="F18" s="109" t="e">
        <f>VLOOKUP(B18,#REF!,21,0)</f>
        <v>#REF!</v>
      </c>
      <c r="G18" s="110" t="e">
        <f>VLOOKUP(B18,#REF!,21,0)</f>
        <v>#REF!</v>
      </c>
      <c r="H18" s="111">
        <v>1</v>
      </c>
      <c r="I18" s="112" t="e">
        <f>VLOOKUP(B18,#REF!,30,0)</f>
        <v>#REF!</v>
      </c>
      <c r="J18" s="113" t="e">
        <f>VLOOKUP(B18,#REF!,13,0)</f>
        <v>#REF!</v>
      </c>
      <c r="K18" s="114" t="e">
        <f>VLOOKUP(B18,#REF!,16,0)</f>
        <v>#REF!</v>
      </c>
      <c r="L18" s="115" t="e">
        <f>VLOOKUP(B18,#REF!,13,0)</f>
        <v>#REF!</v>
      </c>
      <c r="M18" s="116" t="e">
        <f t="shared" si="0"/>
        <v>#REF!</v>
      </c>
      <c r="N18" s="117" t="e">
        <f t="shared" si="1"/>
        <v>#REF!</v>
      </c>
      <c r="O18" s="107" t="e">
        <f t="shared" si="2"/>
        <v>#REF!</v>
      </c>
      <c r="P18" s="108" t="e">
        <f t="shared" si="3"/>
        <v>#REF!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2.5" hidden="1" customHeight="1">
      <c r="A19" s="25">
        <v>6</v>
      </c>
      <c r="B19" s="120" t="s">
        <v>182</v>
      </c>
      <c r="C19" s="121" t="s">
        <v>183</v>
      </c>
      <c r="D19" s="122" t="s">
        <v>184</v>
      </c>
      <c r="E19" s="21" t="s">
        <v>185</v>
      </c>
      <c r="F19" s="109" t="e">
        <f>VLOOKUP(B19,#REF!,21,0)</f>
        <v>#REF!</v>
      </c>
      <c r="G19" s="110" t="e">
        <f>VLOOKUP(B19,#REF!,21,0)</f>
        <v>#REF!</v>
      </c>
      <c r="H19" s="111">
        <v>0</v>
      </c>
      <c r="I19" s="112" t="e">
        <f>VLOOKUP(B19,#REF!,30,0)</f>
        <v>#REF!</v>
      </c>
      <c r="J19" s="113" t="e">
        <f>VLOOKUP(B19,#REF!,13,0)</f>
        <v>#REF!</v>
      </c>
      <c r="K19" s="114" t="e">
        <f>VLOOKUP(B19,#REF!,16,0)</f>
        <v>#REF!</v>
      </c>
      <c r="L19" s="115" t="e">
        <f>VLOOKUP(B19,#REF!,13,0)</f>
        <v>#REF!</v>
      </c>
      <c r="M19" s="116" t="e">
        <f t="shared" si="0"/>
        <v>#REF!</v>
      </c>
      <c r="N19" s="117" t="e">
        <f t="shared" si="1"/>
        <v>#REF!</v>
      </c>
      <c r="O19" s="107" t="e">
        <f t="shared" si="2"/>
        <v>#REF!</v>
      </c>
      <c r="P19" s="108" t="e">
        <f t="shared" si="3"/>
        <v>#REF!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2.5" customHeight="1">
      <c r="A20" s="25">
        <v>7</v>
      </c>
      <c r="B20" s="21" t="s">
        <v>186</v>
      </c>
      <c r="C20" s="62" t="s">
        <v>187</v>
      </c>
      <c r="D20" s="63" t="s">
        <v>184</v>
      </c>
      <c r="E20" s="21" t="s">
        <v>188</v>
      </c>
      <c r="F20" s="109" t="e">
        <f>VLOOKUP(B20,#REF!,21,0)</f>
        <v>#REF!</v>
      </c>
      <c r="G20" s="110" t="e">
        <f>VLOOKUP(B20,#REF!,21,0)</f>
        <v>#REF!</v>
      </c>
      <c r="H20" s="111">
        <v>4</v>
      </c>
      <c r="I20" s="112" t="e">
        <f>VLOOKUP(B20,#REF!,30,0)</f>
        <v>#REF!</v>
      </c>
      <c r="J20" s="113" t="e">
        <f>VLOOKUP(B20,#REF!,13,0)</f>
        <v>#REF!</v>
      </c>
      <c r="K20" s="114" t="e">
        <f>VLOOKUP(B20,#REF!,16,0)</f>
        <v>#REF!</v>
      </c>
      <c r="L20" s="115">
        <f>VLOOKUP(B20,'THEORY (2)'!$B$22:$O$67,13,0)</f>
        <v>3.7</v>
      </c>
      <c r="M20" s="116" t="e">
        <f t="shared" si="0"/>
        <v>#REF!</v>
      </c>
      <c r="N20" s="117" t="e">
        <f t="shared" si="1"/>
        <v>#REF!</v>
      </c>
      <c r="O20" s="107" t="e">
        <f t="shared" si="2"/>
        <v>#REF!</v>
      </c>
      <c r="P20" s="108" t="e">
        <f t="shared" si="3"/>
        <v>#REF!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2.5" hidden="1" customHeight="1">
      <c r="A21" s="25">
        <v>8</v>
      </c>
      <c r="B21" s="21" t="s">
        <v>189</v>
      </c>
      <c r="C21" s="62" t="s">
        <v>190</v>
      </c>
      <c r="D21" s="63" t="s">
        <v>184</v>
      </c>
      <c r="E21" s="21" t="s">
        <v>191</v>
      </c>
      <c r="F21" s="109" t="e">
        <f>VLOOKUP(B21,#REF!,21,0)</f>
        <v>#REF!</v>
      </c>
      <c r="G21" s="110" t="e">
        <f>VLOOKUP(B21,#REF!,21,0)</f>
        <v>#REF!</v>
      </c>
      <c r="H21" s="111">
        <v>5</v>
      </c>
      <c r="I21" s="112" t="e">
        <f>VLOOKUP(B21,#REF!,30,0)</f>
        <v>#REF!</v>
      </c>
      <c r="J21" s="113" t="e">
        <f>VLOOKUP(B21,#REF!,13,0)</f>
        <v>#REF!</v>
      </c>
      <c r="K21" s="114" t="e">
        <f>VLOOKUP(B21,#REF!,16,0)</f>
        <v>#REF!</v>
      </c>
      <c r="L21" s="115">
        <f>VLOOKUP(B21,'THEORY (2)'!$B$22:$O$67,13,0)</f>
        <v>0.3</v>
      </c>
      <c r="M21" s="116" t="e">
        <f t="shared" si="0"/>
        <v>#REF!</v>
      </c>
      <c r="N21" s="117" t="e">
        <f t="shared" si="1"/>
        <v>#REF!</v>
      </c>
      <c r="O21" s="107" t="e">
        <f t="shared" si="2"/>
        <v>#REF!</v>
      </c>
      <c r="P21" s="108" t="e">
        <f t="shared" si="3"/>
        <v>#REF!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2.5" hidden="1" customHeight="1">
      <c r="A22" s="25">
        <v>9</v>
      </c>
      <c r="B22" s="21" t="s">
        <v>192</v>
      </c>
      <c r="C22" s="62" t="s">
        <v>193</v>
      </c>
      <c r="D22" s="63" t="s">
        <v>194</v>
      </c>
      <c r="E22" s="21" t="s">
        <v>195</v>
      </c>
      <c r="F22" s="109" t="e">
        <f>VLOOKUP(B22,#REF!,21,0)</f>
        <v>#REF!</v>
      </c>
      <c r="G22" s="110" t="e">
        <f>VLOOKUP(B22,#REF!,21,0)</f>
        <v>#REF!</v>
      </c>
      <c r="H22" s="111">
        <v>5</v>
      </c>
      <c r="I22" s="112" t="e">
        <f>VLOOKUP(B22,#REF!,30,0)</f>
        <v>#REF!</v>
      </c>
      <c r="J22" s="113" t="e">
        <f>VLOOKUP(B22,#REF!,13,0)</f>
        <v>#REF!</v>
      </c>
      <c r="K22" s="114" t="e">
        <f>VLOOKUP(B22,#REF!,16,0)</f>
        <v>#REF!</v>
      </c>
      <c r="L22" s="115">
        <f>VLOOKUP(B22,'THEORY (2)'!$B$22:$O$67,13,0)</f>
        <v>0.3</v>
      </c>
      <c r="M22" s="116" t="e">
        <f t="shared" si="0"/>
        <v>#REF!</v>
      </c>
      <c r="N22" s="117" t="e">
        <f t="shared" si="1"/>
        <v>#REF!</v>
      </c>
      <c r="O22" s="107" t="e">
        <f t="shared" si="2"/>
        <v>#REF!</v>
      </c>
      <c r="P22" s="108" t="e">
        <f t="shared" si="3"/>
        <v>#REF!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2.5" hidden="1" customHeight="1">
      <c r="A23" s="25">
        <v>10</v>
      </c>
      <c r="B23" s="21" t="s">
        <v>196</v>
      </c>
      <c r="C23" s="62" t="s">
        <v>197</v>
      </c>
      <c r="D23" s="63" t="s">
        <v>198</v>
      </c>
      <c r="E23" s="21" t="s">
        <v>199</v>
      </c>
      <c r="F23" s="109" t="e">
        <f>VLOOKUP(B23,#REF!,21,0)</f>
        <v>#REF!</v>
      </c>
      <c r="G23" s="110" t="e">
        <f>VLOOKUP(B23,#REF!,21,0)</f>
        <v>#REF!</v>
      </c>
      <c r="H23" s="111">
        <v>6</v>
      </c>
      <c r="I23" s="112" t="e">
        <f>VLOOKUP(B23,#REF!,30,0)</f>
        <v>#REF!</v>
      </c>
      <c r="J23" s="113" t="e">
        <f>VLOOKUP(B23,#REF!,13,0)</f>
        <v>#REF!</v>
      </c>
      <c r="K23" s="114" t="e">
        <f>VLOOKUP(B23,#REF!,16,0)</f>
        <v>#REF!</v>
      </c>
      <c r="L23" s="115">
        <f>VLOOKUP(B23,'THEORY (2)'!$B$22:$O$67,13,0)</f>
        <v>0</v>
      </c>
      <c r="M23" s="116" t="e">
        <f t="shared" si="0"/>
        <v>#REF!</v>
      </c>
      <c r="N23" s="117" t="e">
        <f t="shared" si="1"/>
        <v>#REF!</v>
      </c>
      <c r="O23" s="107" t="e">
        <f t="shared" si="2"/>
        <v>#REF!</v>
      </c>
      <c r="P23" s="108" t="e">
        <f t="shared" si="3"/>
        <v>#REF!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2.5" hidden="1" customHeight="1">
      <c r="A24" s="25">
        <v>11</v>
      </c>
      <c r="B24" s="21" t="s">
        <v>200</v>
      </c>
      <c r="C24" s="62" t="s">
        <v>201</v>
      </c>
      <c r="D24" s="63" t="s">
        <v>202</v>
      </c>
      <c r="E24" s="21" t="s">
        <v>203</v>
      </c>
      <c r="F24" s="109" t="e">
        <f>VLOOKUP(B24,#REF!,21,0)</f>
        <v>#REF!</v>
      </c>
      <c r="G24" s="110" t="e">
        <f>VLOOKUP(B24,#REF!,21,0)</f>
        <v>#REF!</v>
      </c>
      <c r="H24" s="111">
        <v>5</v>
      </c>
      <c r="I24" s="112" t="e">
        <f>VLOOKUP(B24,#REF!,30,0)</f>
        <v>#REF!</v>
      </c>
      <c r="J24" s="113" t="e">
        <f>VLOOKUP(B24,#REF!,13,0)</f>
        <v>#REF!</v>
      </c>
      <c r="K24" s="114" t="e">
        <f>VLOOKUP(B24,#REF!,16,0)</f>
        <v>#REF!</v>
      </c>
      <c r="L24" s="115">
        <f>VLOOKUP(B24,'THEORY (2)'!$B$22:$O$67,13,0)</f>
        <v>0</v>
      </c>
      <c r="M24" s="116" t="e">
        <f t="shared" si="0"/>
        <v>#REF!</v>
      </c>
      <c r="N24" s="117" t="e">
        <f t="shared" si="1"/>
        <v>#REF!</v>
      </c>
      <c r="O24" s="107" t="e">
        <f t="shared" si="2"/>
        <v>#REF!</v>
      </c>
      <c r="P24" s="108" t="e">
        <f t="shared" si="3"/>
        <v>#REF!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2.5" hidden="1" customHeight="1">
      <c r="A25" s="25">
        <v>12</v>
      </c>
      <c r="B25" s="21" t="s">
        <v>204</v>
      </c>
      <c r="C25" s="62" t="s">
        <v>205</v>
      </c>
      <c r="D25" s="63" t="s">
        <v>202</v>
      </c>
      <c r="E25" s="21" t="s">
        <v>206</v>
      </c>
      <c r="F25" s="109" t="e">
        <f>VLOOKUP(B25,#REF!,21,0)</f>
        <v>#REF!</v>
      </c>
      <c r="G25" s="110" t="e">
        <f>VLOOKUP(B25,#REF!,21,0)</f>
        <v>#REF!</v>
      </c>
      <c r="H25" s="111">
        <v>3</v>
      </c>
      <c r="I25" s="112" t="e">
        <f>VLOOKUP(B25,#REF!,30,0)</f>
        <v>#REF!</v>
      </c>
      <c r="J25" s="113" t="e">
        <f>VLOOKUP(B25,#REF!,13,0)</f>
        <v>#REF!</v>
      </c>
      <c r="K25" s="114" t="e">
        <f>VLOOKUP(B25,#REF!,16,0)</f>
        <v>#REF!</v>
      </c>
      <c r="L25" s="115">
        <f>VLOOKUP(B25,'THEORY (2)'!$B$22:$O$67,13,0)</f>
        <v>0</v>
      </c>
      <c r="M25" s="116" t="e">
        <f t="shared" si="0"/>
        <v>#REF!</v>
      </c>
      <c r="N25" s="117" t="e">
        <f t="shared" si="1"/>
        <v>#REF!</v>
      </c>
      <c r="O25" s="107" t="e">
        <f t="shared" si="2"/>
        <v>#REF!</v>
      </c>
      <c r="P25" s="108" t="e">
        <f t="shared" si="3"/>
        <v>#REF!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2.5" hidden="1" customHeight="1">
      <c r="A26" s="25">
        <v>13</v>
      </c>
      <c r="B26" s="21" t="s">
        <v>207</v>
      </c>
      <c r="C26" s="62" t="s">
        <v>208</v>
      </c>
      <c r="D26" s="63" t="s">
        <v>209</v>
      </c>
      <c r="E26" s="21" t="s">
        <v>210</v>
      </c>
      <c r="F26" s="109" t="e">
        <f>VLOOKUP(B26,#REF!,21,0)</f>
        <v>#REF!</v>
      </c>
      <c r="G26" s="110" t="e">
        <f>VLOOKUP(B26,#REF!,21,0)</f>
        <v>#REF!</v>
      </c>
      <c r="H26" s="118">
        <v>8</v>
      </c>
      <c r="I26" s="112" t="e">
        <f>VLOOKUP(B26,#REF!,30,0)</f>
        <v>#REF!</v>
      </c>
      <c r="J26" s="113" t="e">
        <f>VLOOKUP(B26,#REF!,13,0)</f>
        <v>#REF!</v>
      </c>
      <c r="K26" s="114" t="e">
        <f>VLOOKUP(B26,#REF!,16,0)</f>
        <v>#REF!</v>
      </c>
      <c r="L26" s="115">
        <f>VLOOKUP(B26,'THEORY (2)'!$B$22:$O$67,13,0)</f>
        <v>0</v>
      </c>
      <c r="M26" s="116" t="e">
        <f t="shared" si="0"/>
        <v>#REF!</v>
      </c>
      <c r="N26" s="119" t="e">
        <f t="shared" si="1"/>
        <v>#REF!</v>
      </c>
      <c r="O26" s="107" t="e">
        <f t="shared" si="2"/>
        <v>#REF!</v>
      </c>
      <c r="P26" s="108" t="e">
        <f t="shared" si="3"/>
        <v>#REF!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.5" hidden="1" customHeight="1">
      <c r="A27" s="25">
        <v>14</v>
      </c>
      <c r="B27" s="21" t="s">
        <v>211</v>
      </c>
      <c r="C27" s="62" t="s">
        <v>212</v>
      </c>
      <c r="D27" s="63" t="s">
        <v>213</v>
      </c>
      <c r="E27" s="21" t="s">
        <v>214</v>
      </c>
      <c r="F27" s="109" t="e">
        <f>VLOOKUP(B27,#REF!,21,0)</f>
        <v>#REF!</v>
      </c>
      <c r="G27" s="110" t="e">
        <f>VLOOKUP(B27,#REF!,21,0)</f>
        <v>#REF!</v>
      </c>
      <c r="H27" s="111">
        <v>5</v>
      </c>
      <c r="I27" s="112" t="e">
        <f>VLOOKUP(B27,#REF!,30,0)</f>
        <v>#REF!</v>
      </c>
      <c r="J27" s="113" t="e">
        <f>VLOOKUP(B27,#REF!,13,0)</f>
        <v>#REF!</v>
      </c>
      <c r="K27" s="114" t="e">
        <f>VLOOKUP(B27,#REF!,16,0)</f>
        <v>#REF!</v>
      </c>
      <c r="L27" s="115">
        <f>VLOOKUP(B27,'THEORY (2)'!$B$22:$O$67,13,0)</f>
        <v>0</v>
      </c>
      <c r="M27" s="116" t="e">
        <f t="shared" si="0"/>
        <v>#REF!</v>
      </c>
      <c r="N27" s="117" t="e">
        <f t="shared" si="1"/>
        <v>#REF!</v>
      </c>
      <c r="O27" s="107" t="e">
        <f t="shared" si="2"/>
        <v>#REF!</v>
      </c>
      <c r="P27" s="108" t="e">
        <f t="shared" si="3"/>
        <v>#REF!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2.5" hidden="1" customHeight="1">
      <c r="A28" s="25">
        <v>15</v>
      </c>
      <c r="B28" s="21" t="s">
        <v>215</v>
      </c>
      <c r="C28" s="62" t="s">
        <v>216</v>
      </c>
      <c r="D28" s="63" t="s">
        <v>217</v>
      </c>
      <c r="E28" s="21" t="s">
        <v>218</v>
      </c>
      <c r="F28" s="109" t="e">
        <f>VLOOKUP(B28,#REF!,21,0)</f>
        <v>#REF!</v>
      </c>
      <c r="G28" s="110" t="e">
        <f>VLOOKUP(B28,#REF!,21,0)</f>
        <v>#REF!</v>
      </c>
      <c r="H28" s="111">
        <v>6</v>
      </c>
      <c r="I28" s="112" t="e">
        <f>VLOOKUP(B28,#REF!,30,0)</f>
        <v>#REF!</v>
      </c>
      <c r="J28" s="113" t="e">
        <f>VLOOKUP(B28,#REF!,13,0)</f>
        <v>#REF!</v>
      </c>
      <c r="K28" s="114" t="e">
        <f>VLOOKUP(B28,#REF!,16,0)</f>
        <v>#REF!</v>
      </c>
      <c r="L28" s="115">
        <f>VLOOKUP(B28,'THEORY (2)'!$B$22:$O$67,13,0)</f>
        <v>0.3</v>
      </c>
      <c r="M28" s="116" t="e">
        <f t="shared" si="0"/>
        <v>#REF!</v>
      </c>
      <c r="N28" s="119" t="e">
        <f t="shared" si="1"/>
        <v>#REF!</v>
      </c>
      <c r="O28" s="107" t="e">
        <f t="shared" si="2"/>
        <v>#REF!</v>
      </c>
      <c r="P28" s="108" t="e">
        <f t="shared" si="3"/>
        <v>#REF!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.5" hidden="1" customHeight="1">
      <c r="A29" s="25">
        <v>16</v>
      </c>
      <c r="B29" s="21" t="s">
        <v>219</v>
      </c>
      <c r="C29" s="62" t="s">
        <v>220</v>
      </c>
      <c r="D29" s="63" t="s">
        <v>221</v>
      </c>
      <c r="E29" s="21" t="s">
        <v>222</v>
      </c>
      <c r="F29" s="109" t="e">
        <f>VLOOKUP(B29,#REF!,21,0)</f>
        <v>#REF!</v>
      </c>
      <c r="G29" s="110" t="e">
        <f>VLOOKUP(B29,#REF!,21,0)</f>
        <v>#REF!</v>
      </c>
      <c r="H29" s="111">
        <v>4</v>
      </c>
      <c r="I29" s="112" t="e">
        <f>VLOOKUP(B29,#REF!,30,0)</f>
        <v>#REF!</v>
      </c>
      <c r="J29" s="113" t="e">
        <f>VLOOKUP(B29,#REF!,13,0)</f>
        <v>#REF!</v>
      </c>
      <c r="K29" s="114" t="e">
        <f>VLOOKUP(B29,#REF!,16,0)</f>
        <v>#REF!</v>
      </c>
      <c r="L29" s="115">
        <f>VLOOKUP(B29,'THEORY (2)'!$B$22:$O$67,13,0)</f>
        <v>0</v>
      </c>
      <c r="M29" s="116" t="e">
        <f t="shared" si="0"/>
        <v>#REF!</v>
      </c>
      <c r="N29" s="117" t="e">
        <f t="shared" si="1"/>
        <v>#REF!</v>
      </c>
      <c r="O29" s="107" t="e">
        <f t="shared" si="2"/>
        <v>#REF!</v>
      </c>
      <c r="P29" s="108" t="e">
        <f t="shared" si="3"/>
        <v>#REF!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2.5" hidden="1" customHeight="1">
      <c r="A30" s="25">
        <v>17</v>
      </c>
      <c r="B30" s="21" t="s">
        <v>223</v>
      </c>
      <c r="C30" s="62" t="s">
        <v>224</v>
      </c>
      <c r="D30" s="63" t="s">
        <v>225</v>
      </c>
      <c r="E30" s="21" t="s">
        <v>226</v>
      </c>
      <c r="F30" s="109" t="e">
        <f>VLOOKUP(B30,#REF!,21,0)</f>
        <v>#REF!</v>
      </c>
      <c r="G30" s="110" t="e">
        <f>VLOOKUP(B30,#REF!,21,0)</f>
        <v>#REF!</v>
      </c>
      <c r="H30" s="118">
        <v>7</v>
      </c>
      <c r="I30" s="112" t="e">
        <f>VLOOKUP(B30,#REF!,30,0)</f>
        <v>#REF!</v>
      </c>
      <c r="J30" s="113" t="e">
        <f>VLOOKUP(B30,#REF!,13,0)</f>
        <v>#REF!</v>
      </c>
      <c r="K30" s="114" t="e">
        <f>VLOOKUP(B30,#REF!,16,0)</f>
        <v>#REF!</v>
      </c>
      <c r="L30" s="115">
        <f>VLOOKUP(B30,'THEORY (2)'!$B$22:$O$67,13,0)</f>
        <v>0.3</v>
      </c>
      <c r="M30" s="116" t="e">
        <f t="shared" si="0"/>
        <v>#REF!</v>
      </c>
      <c r="N30" s="119" t="e">
        <f t="shared" si="1"/>
        <v>#REF!</v>
      </c>
      <c r="O30" s="107" t="e">
        <f t="shared" si="2"/>
        <v>#REF!</v>
      </c>
      <c r="P30" s="108" t="e">
        <f t="shared" si="3"/>
        <v>#REF!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2.5" hidden="1" customHeight="1">
      <c r="A31" s="25">
        <v>18</v>
      </c>
      <c r="B31" s="21" t="s">
        <v>227</v>
      </c>
      <c r="C31" s="62" t="s">
        <v>228</v>
      </c>
      <c r="D31" s="63" t="s">
        <v>229</v>
      </c>
      <c r="E31" s="21" t="s">
        <v>230</v>
      </c>
      <c r="F31" s="109" t="e">
        <f>VLOOKUP(B31,#REF!,21,0)</f>
        <v>#REF!</v>
      </c>
      <c r="G31" s="110" t="e">
        <f>VLOOKUP(B31,#REF!,21,0)</f>
        <v>#REF!</v>
      </c>
      <c r="H31" s="111">
        <v>3</v>
      </c>
      <c r="I31" s="112" t="e">
        <f>VLOOKUP(B31,#REF!,30,0)</f>
        <v>#REF!</v>
      </c>
      <c r="J31" s="113" t="e">
        <f>VLOOKUP(B31,#REF!,13,0)</f>
        <v>#REF!</v>
      </c>
      <c r="K31" s="114" t="e">
        <f>VLOOKUP(B31,#REF!,16,0)</f>
        <v>#REF!</v>
      </c>
      <c r="L31" s="115">
        <f>VLOOKUP(B31,'THEORY (2)'!$B$22:$O$67,13,0)</f>
        <v>0</v>
      </c>
      <c r="M31" s="116" t="e">
        <f t="shared" si="0"/>
        <v>#REF!</v>
      </c>
      <c r="N31" s="117" t="e">
        <f t="shared" si="1"/>
        <v>#REF!</v>
      </c>
      <c r="O31" s="107" t="e">
        <f t="shared" si="2"/>
        <v>#REF!</v>
      </c>
      <c r="P31" s="108" t="e">
        <f t="shared" si="3"/>
        <v>#REF!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.5" hidden="1" customHeight="1">
      <c r="A32" s="25">
        <v>19</v>
      </c>
      <c r="B32" s="21" t="s">
        <v>231</v>
      </c>
      <c r="C32" s="62" t="s">
        <v>232</v>
      </c>
      <c r="D32" s="63" t="s">
        <v>233</v>
      </c>
      <c r="E32" s="21" t="s">
        <v>234</v>
      </c>
      <c r="F32" s="109" t="e">
        <f>VLOOKUP(B32,#REF!,21,0)</f>
        <v>#REF!</v>
      </c>
      <c r="G32" s="110" t="e">
        <f>VLOOKUP(B32,#REF!,21,0)</f>
        <v>#REF!</v>
      </c>
      <c r="H32" s="111">
        <v>6</v>
      </c>
      <c r="I32" s="112" t="e">
        <f>VLOOKUP(B32,#REF!,30,0)</f>
        <v>#REF!</v>
      </c>
      <c r="J32" s="113" t="e">
        <f>VLOOKUP(B32,#REF!,13,0)</f>
        <v>#REF!</v>
      </c>
      <c r="K32" s="114" t="e">
        <f>VLOOKUP(B32,#REF!,16,0)</f>
        <v>#REF!</v>
      </c>
      <c r="L32" s="115">
        <f>VLOOKUP(B32,'THEORY (2)'!$B$22:$O$67,13,0)</f>
        <v>0</v>
      </c>
      <c r="M32" s="116" t="e">
        <f t="shared" si="0"/>
        <v>#REF!</v>
      </c>
      <c r="N32" s="119" t="e">
        <f t="shared" si="1"/>
        <v>#REF!</v>
      </c>
      <c r="O32" s="107" t="e">
        <f t="shared" si="2"/>
        <v>#REF!</v>
      </c>
      <c r="P32" s="108" t="e">
        <f t="shared" si="3"/>
        <v>#REF!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2.5" hidden="1" customHeight="1">
      <c r="A33" s="25">
        <v>20</v>
      </c>
      <c r="B33" s="21" t="s">
        <v>235</v>
      </c>
      <c r="C33" s="62" t="s">
        <v>236</v>
      </c>
      <c r="D33" s="63" t="s">
        <v>237</v>
      </c>
      <c r="E33" s="21" t="s">
        <v>165</v>
      </c>
      <c r="F33" s="109" t="e">
        <f>VLOOKUP(B33,#REF!,21,0)</f>
        <v>#REF!</v>
      </c>
      <c r="G33" s="110" t="e">
        <f>VLOOKUP(B33,#REF!,21,0)</f>
        <v>#REF!</v>
      </c>
      <c r="H33" s="111">
        <v>6</v>
      </c>
      <c r="I33" s="112" t="e">
        <f>VLOOKUP(B33,#REF!,30,0)</f>
        <v>#REF!</v>
      </c>
      <c r="J33" s="113" t="e">
        <f>VLOOKUP(B33,#REF!,13,0)</f>
        <v>#REF!</v>
      </c>
      <c r="K33" s="114" t="e">
        <f>VLOOKUP(B33,#REF!,16,0)</f>
        <v>#REF!</v>
      </c>
      <c r="L33" s="115">
        <f>VLOOKUP(B33,'THEORY (2)'!$B$22:$O$67,13,0)</f>
        <v>0</v>
      </c>
      <c r="M33" s="116" t="e">
        <f t="shared" si="0"/>
        <v>#REF!</v>
      </c>
      <c r="N33" s="117" t="e">
        <f t="shared" si="1"/>
        <v>#REF!</v>
      </c>
      <c r="O33" s="107" t="e">
        <f t="shared" si="2"/>
        <v>#REF!</v>
      </c>
      <c r="P33" s="108" t="e">
        <f t="shared" si="3"/>
        <v>#REF!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2.5" hidden="1" customHeight="1">
      <c r="A34" s="25">
        <v>21</v>
      </c>
      <c r="B34" s="21" t="s">
        <v>238</v>
      </c>
      <c r="C34" s="62" t="s">
        <v>239</v>
      </c>
      <c r="D34" s="63" t="s">
        <v>240</v>
      </c>
      <c r="E34" s="21" t="s">
        <v>241</v>
      </c>
      <c r="F34" s="109" t="e">
        <f>VLOOKUP(B34,#REF!,21,0)</f>
        <v>#REF!</v>
      </c>
      <c r="G34" s="110" t="e">
        <f>VLOOKUP(B34,#REF!,21,0)</f>
        <v>#REF!</v>
      </c>
      <c r="H34" s="111">
        <v>4</v>
      </c>
      <c r="I34" s="112" t="e">
        <f>VLOOKUP(B34,#REF!,30,0)</f>
        <v>#REF!</v>
      </c>
      <c r="J34" s="113" t="e">
        <f>VLOOKUP(B34,#REF!,13,0)</f>
        <v>#REF!</v>
      </c>
      <c r="K34" s="114" t="e">
        <f>VLOOKUP(B34,#REF!,16,0)</f>
        <v>#REF!</v>
      </c>
      <c r="L34" s="115">
        <f>VLOOKUP(B34,'THEORY (2)'!$B$22:$O$67,13,0)</f>
        <v>0.3</v>
      </c>
      <c r="M34" s="116" t="e">
        <f t="shared" si="0"/>
        <v>#REF!</v>
      </c>
      <c r="N34" s="117" t="e">
        <f t="shared" si="1"/>
        <v>#REF!</v>
      </c>
      <c r="O34" s="107" t="e">
        <f t="shared" si="2"/>
        <v>#REF!</v>
      </c>
      <c r="P34" s="108" t="e">
        <f t="shared" si="3"/>
        <v>#REF!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2.5" hidden="1" customHeight="1">
      <c r="A35" s="25">
        <v>22</v>
      </c>
      <c r="B35" s="21" t="s">
        <v>242</v>
      </c>
      <c r="C35" s="62" t="s">
        <v>243</v>
      </c>
      <c r="D35" s="63" t="s">
        <v>244</v>
      </c>
      <c r="E35" s="21" t="s">
        <v>245</v>
      </c>
      <c r="F35" s="109" t="e">
        <f>VLOOKUP(B35,#REF!,21,0)</f>
        <v>#REF!</v>
      </c>
      <c r="G35" s="110" t="e">
        <f>VLOOKUP(B35,#REF!,21,0)</f>
        <v>#REF!</v>
      </c>
      <c r="H35" s="111">
        <v>4</v>
      </c>
      <c r="I35" s="112" t="e">
        <f>VLOOKUP(B35,#REF!,30,0)</f>
        <v>#REF!</v>
      </c>
      <c r="J35" s="113" t="e">
        <f>VLOOKUP(B35,#REF!,13,0)</f>
        <v>#REF!</v>
      </c>
      <c r="K35" s="114" t="e">
        <f>VLOOKUP(B35,#REF!,16,0)</f>
        <v>#REF!</v>
      </c>
      <c r="L35" s="115">
        <f>VLOOKUP(B35,'THEORY (2)'!$B$22:$O$67,13,0)</f>
        <v>0</v>
      </c>
      <c r="M35" s="116" t="e">
        <f t="shared" si="0"/>
        <v>#REF!</v>
      </c>
      <c r="N35" s="117" t="e">
        <f t="shared" si="1"/>
        <v>#REF!</v>
      </c>
      <c r="O35" s="107" t="e">
        <f t="shared" si="2"/>
        <v>#REF!</v>
      </c>
      <c r="P35" s="108" t="e">
        <f t="shared" si="3"/>
        <v>#REF!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2.5" hidden="1" customHeight="1">
      <c r="A36" s="25">
        <v>23</v>
      </c>
      <c r="B36" s="21" t="s">
        <v>246</v>
      </c>
      <c r="C36" s="62" t="s">
        <v>247</v>
      </c>
      <c r="D36" s="63" t="s">
        <v>248</v>
      </c>
      <c r="E36" s="21" t="s">
        <v>249</v>
      </c>
      <c r="F36" s="109" t="e">
        <f>VLOOKUP(B36,#REF!,21,0)</f>
        <v>#REF!</v>
      </c>
      <c r="G36" s="110" t="e">
        <f>VLOOKUP(B36,#REF!,21,0)</f>
        <v>#REF!</v>
      </c>
      <c r="H36" s="111">
        <v>5</v>
      </c>
      <c r="I36" s="112" t="e">
        <f>VLOOKUP(B36,#REF!,30,0)</f>
        <v>#REF!</v>
      </c>
      <c r="J36" s="113" t="e">
        <f>VLOOKUP(B36,#REF!,13,0)</f>
        <v>#REF!</v>
      </c>
      <c r="K36" s="114" t="e">
        <f>VLOOKUP(B36,#REF!,16,0)</f>
        <v>#REF!</v>
      </c>
      <c r="L36" s="115">
        <f>VLOOKUP(B36,'THEORY (2)'!$B$22:$O$67,13,0)</f>
        <v>0.5</v>
      </c>
      <c r="M36" s="116" t="e">
        <f t="shared" si="0"/>
        <v>#REF!</v>
      </c>
      <c r="N36" s="117" t="e">
        <f t="shared" si="1"/>
        <v>#REF!</v>
      </c>
      <c r="O36" s="107" t="e">
        <f t="shared" si="2"/>
        <v>#REF!</v>
      </c>
      <c r="P36" s="108" t="e">
        <f t="shared" si="3"/>
        <v>#REF!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2.5" hidden="1" customHeight="1">
      <c r="A37" s="25">
        <v>24</v>
      </c>
      <c r="B37" s="21" t="s">
        <v>250</v>
      </c>
      <c r="C37" s="62" t="s">
        <v>251</v>
      </c>
      <c r="D37" s="63" t="s">
        <v>252</v>
      </c>
      <c r="E37" s="21" t="s">
        <v>253</v>
      </c>
      <c r="F37" s="109" t="e">
        <f>VLOOKUP(B37,#REF!,21,0)</f>
        <v>#REF!</v>
      </c>
      <c r="G37" s="110" t="e">
        <f>VLOOKUP(B37,#REF!,21,0)</f>
        <v>#REF!</v>
      </c>
      <c r="H37" s="111">
        <v>6</v>
      </c>
      <c r="I37" s="112" t="e">
        <f>VLOOKUP(B37,#REF!,30,0)</f>
        <v>#REF!</v>
      </c>
      <c r="J37" s="113" t="e">
        <f>VLOOKUP(B37,#REF!,13,0)</f>
        <v>#REF!</v>
      </c>
      <c r="K37" s="114" t="e">
        <f>VLOOKUP(B37,#REF!,16,0)</f>
        <v>#REF!</v>
      </c>
      <c r="L37" s="115">
        <f>VLOOKUP(B37,'THEORY (2)'!$B$22:$O$67,13,0)</f>
        <v>0</v>
      </c>
      <c r="M37" s="116" t="e">
        <f t="shared" si="0"/>
        <v>#REF!</v>
      </c>
      <c r="N37" s="117" t="e">
        <f t="shared" si="1"/>
        <v>#REF!</v>
      </c>
      <c r="O37" s="107" t="e">
        <f t="shared" si="2"/>
        <v>#REF!</v>
      </c>
      <c r="P37" s="108" t="e">
        <f t="shared" si="3"/>
        <v>#REF!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2.5" hidden="1" customHeight="1">
      <c r="A38" s="25">
        <v>25</v>
      </c>
      <c r="B38" s="21" t="s">
        <v>254</v>
      </c>
      <c r="C38" s="62" t="s">
        <v>255</v>
      </c>
      <c r="D38" s="63" t="s">
        <v>252</v>
      </c>
      <c r="E38" s="21" t="s">
        <v>256</v>
      </c>
      <c r="F38" s="109" t="e">
        <f>VLOOKUP(B38,#REF!,21,0)</f>
        <v>#REF!</v>
      </c>
      <c r="G38" s="110" t="e">
        <f>VLOOKUP(B38,#REF!,21,0)</f>
        <v>#REF!</v>
      </c>
      <c r="H38" s="118">
        <v>7</v>
      </c>
      <c r="I38" s="112" t="e">
        <f>VLOOKUP(B38,#REF!,30,0)</f>
        <v>#REF!</v>
      </c>
      <c r="J38" s="113" t="e">
        <f>VLOOKUP(B38,#REF!,13,0)</f>
        <v>#REF!</v>
      </c>
      <c r="K38" s="114" t="e">
        <f>VLOOKUP(B38,#REF!,16,0)</f>
        <v>#REF!</v>
      </c>
      <c r="L38" s="115">
        <f>VLOOKUP(B38,'THEORY (2)'!$B$22:$O$67,13,0)</f>
        <v>0.3</v>
      </c>
      <c r="M38" s="116" t="e">
        <f t="shared" si="0"/>
        <v>#REF!</v>
      </c>
      <c r="N38" s="119" t="e">
        <f t="shared" si="1"/>
        <v>#REF!</v>
      </c>
      <c r="O38" s="107" t="e">
        <f t="shared" si="2"/>
        <v>#REF!</v>
      </c>
      <c r="P38" s="108" t="e">
        <f t="shared" si="3"/>
        <v>#REF!</v>
      </c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.5" hidden="1" customHeight="1">
      <c r="A39" s="25">
        <v>26</v>
      </c>
      <c r="B39" s="21" t="s">
        <v>257</v>
      </c>
      <c r="C39" s="62" t="s">
        <v>258</v>
      </c>
      <c r="D39" s="63" t="s">
        <v>259</v>
      </c>
      <c r="E39" s="21" t="s">
        <v>260</v>
      </c>
      <c r="F39" s="109" t="e">
        <f>VLOOKUP(B39,#REF!,21,0)</f>
        <v>#REF!</v>
      </c>
      <c r="G39" s="110" t="e">
        <f>VLOOKUP(B39,#REF!,21,0)</f>
        <v>#REF!</v>
      </c>
      <c r="H39" s="111">
        <v>5</v>
      </c>
      <c r="I39" s="112" t="e">
        <f>VLOOKUP(B39,#REF!,30,0)</f>
        <v>#REF!</v>
      </c>
      <c r="J39" s="113" t="e">
        <f>VLOOKUP(B39,#REF!,13,0)</f>
        <v>#REF!</v>
      </c>
      <c r="K39" s="114" t="e">
        <f>VLOOKUP(B39,#REF!,16,0)</f>
        <v>#REF!</v>
      </c>
      <c r="L39" s="115">
        <f>VLOOKUP(B39,'THEORY (2)'!$B$22:$O$67,13,0)</f>
        <v>0.2</v>
      </c>
      <c r="M39" s="116" t="e">
        <f t="shared" si="0"/>
        <v>#REF!</v>
      </c>
      <c r="N39" s="117" t="e">
        <f t="shared" si="1"/>
        <v>#REF!</v>
      </c>
      <c r="O39" s="107" t="e">
        <f t="shared" si="2"/>
        <v>#REF!</v>
      </c>
      <c r="P39" s="108" t="e">
        <f t="shared" si="3"/>
        <v>#REF!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2.5" hidden="1" customHeight="1">
      <c r="A40" s="25">
        <v>27</v>
      </c>
      <c r="B40" s="21" t="s">
        <v>261</v>
      </c>
      <c r="C40" s="62" t="s">
        <v>262</v>
      </c>
      <c r="D40" s="63" t="s">
        <v>263</v>
      </c>
      <c r="E40" s="21" t="s">
        <v>264</v>
      </c>
      <c r="F40" s="109" t="e">
        <f>VLOOKUP(B40,#REF!,21,0)</f>
        <v>#REF!</v>
      </c>
      <c r="G40" s="110" t="e">
        <f>VLOOKUP(B40,#REF!,21,0)</f>
        <v>#REF!</v>
      </c>
      <c r="H40" s="111">
        <v>5</v>
      </c>
      <c r="I40" s="112" t="e">
        <f>VLOOKUP(B40,#REF!,30,0)</f>
        <v>#REF!</v>
      </c>
      <c r="J40" s="113" t="e">
        <f>VLOOKUP(B40,#REF!,13,0)</f>
        <v>#REF!</v>
      </c>
      <c r="K40" s="114" t="e">
        <f>VLOOKUP(B40,#REF!,16,0)</f>
        <v>#REF!</v>
      </c>
      <c r="L40" s="115">
        <f>VLOOKUP(B40,'THEORY (2)'!$B$22:$O$67,13,0)</f>
        <v>0.7</v>
      </c>
      <c r="M40" s="116" t="e">
        <f t="shared" si="0"/>
        <v>#REF!</v>
      </c>
      <c r="N40" s="117" t="e">
        <f t="shared" si="1"/>
        <v>#REF!</v>
      </c>
      <c r="O40" s="107" t="e">
        <f t="shared" si="2"/>
        <v>#REF!</v>
      </c>
      <c r="P40" s="108" t="e">
        <f t="shared" si="3"/>
        <v>#REF!</v>
      </c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2.5" hidden="1" customHeight="1">
      <c r="A41" s="25">
        <v>28</v>
      </c>
      <c r="B41" s="21" t="s">
        <v>265</v>
      </c>
      <c r="C41" s="62" t="s">
        <v>266</v>
      </c>
      <c r="D41" s="63" t="s">
        <v>267</v>
      </c>
      <c r="E41" s="21" t="s">
        <v>268</v>
      </c>
      <c r="F41" s="109" t="e">
        <f>VLOOKUP(B41,#REF!,21,0)</f>
        <v>#REF!</v>
      </c>
      <c r="G41" s="110" t="e">
        <f>VLOOKUP(B41,#REF!,21,0)</f>
        <v>#REF!</v>
      </c>
      <c r="H41" s="111">
        <v>5</v>
      </c>
      <c r="I41" s="112" t="e">
        <f>VLOOKUP(B41,#REF!,30,0)</f>
        <v>#REF!</v>
      </c>
      <c r="J41" s="113" t="e">
        <f>VLOOKUP(B41,#REF!,13,0)</f>
        <v>#REF!</v>
      </c>
      <c r="K41" s="114" t="e">
        <f>VLOOKUP(B41,#REF!,16,0)</f>
        <v>#REF!</v>
      </c>
      <c r="L41" s="115">
        <f>VLOOKUP(B41,'THEORY (2)'!$B$22:$O$67,13,0)</f>
        <v>0</v>
      </c>
      <c r="M41" s="116" t="e">
        <f t="shared" si="0"/>
        <v>#REF!</v>
      </c>
      <c r="N41" s="117" t="e">
        <f t="shared" si="1"/>
        <v>#REF!</v>
      </c>
      <c r="O41" s="107" t="e">
        <f t="shared" si="2"/>
        <v>#REF!</v>
      </c>
      <c r="P41" s="108" t="e">
        <f t="shared" si="3"/>
        <v>#REF!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2.5" customHeight="1">
      <c r="A42" s="25">
        <v>29</v>
      </c>
      <c r="B42" s="21" t="s">
        <v>269</v>
      </c>
      <c r="C42" s="62" t="s">
        <v>270</v>
      </c>
      <c r="D42" s="63" t="s">
        <v>267</v>
      </c>
      <c r="E42" s="21" t="s">
        <v>271</v>
      </c>
      <c r="F42" s="109" t="e">
        <f>VLOOKUP(B42,#REF!,21,0)</f>
        <v>#REF!</v>
      </c>
      <c r="G42" s="110" t="e">
        <f>VLOOKUP(B42,#REF!,21,0)</f>
        <v>#REF!</v>
      </c>
      <c r="H42" s="111">
        <v>6</v>
      </c>
      <c r="I42" s="112" t="e">
        <f>VLOOKUP(B42,#REF!,30,0)</f>
        <v>#REF!</v>
      </c>
      <c r="J42" s="113" t="e">
        <f>VLOOKUP(B42,#REF!,13,0)</f>
        <v>#REF!</v>
      </c>
      <c r="K42" s="114" t="e">
        <f>VLOOKUP(B42,#REF!,16,0)</f>
        <v>#REF!</v>
      </c>
      <c r="L42" s="115">
        <f>VLOOKUP(B42,'THEORY (2)'!$B$22:$O$67,13,0)</f>
        <v>5.75</v>
      </c>
      <c r="M42" s="116" t="e">
        <f t="shared" si="0"/>
        <v>#REF!</v>
      </c>
      <c r="N42" s="117" t="e">
        <f t="shared" si="1"/>
        <v>#REF!</v>
      </c>
      <c r="O42" s="107" t="e">
        <f t="shared" si="2"/>
        <v>#REF!</v>
      </c>
      <c r="P42" s="108" t="e">
        <f t="shared" si="3"/>
        <v>#REF!</v>
      </c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2.5" hidden="1" customHeight="1">
      <c r="A43" s="25">
        <v>30</v>
      </c>
      <c r="B43" s="21" t="s">
        <v>272</v>
      </c>
      <c r="C43" s="62" t="s">
        <v>273</v>
      </c>
      <c r="D43" s="63" t="s">
        <v>274</v>
      </c>
      <c r="E43" s="21" t="s">
        <v>275</v>
      </c>
      <c r="F43" s="109" t="e">
        <f>VLOOKUP(B43,#REF!,21,0)</f>
        <v>#REF!</v>
      </c>
      <c r="G43" s="110" t="e">
        <f>VLOOKUP(B43,#REF!,21,0)</f>
        <v>#REF!</v>
      </c>
      <c r="H43" s="111">
        <v>5</v>
      </c>
      <c r="I43" s="112" t="e">
        <f>VLOOKUP(B43,#REF!,30,0)</f>
        <v>#REF!</v>
      </c>
      <c r="J43" s="113" t="e">
        <f>VLOOKUP(B43,#REF!,13,0)</f>
        <v>#REF!</v>
      </c>
      <c r="K43" s="114" t="e">
        <f>VLOOKUP(B43,#REF!,16,0)</f>
        <v>#REF!</v>
      </c>
      <c r="L43" s="115">
        <f>VLOOKUP(B43,'THEORY (2)'!$B$22:$O$67,13,0)</f>
        <v>0</v>
      </c>
      <c r="M43" s="116" t="e">
        <f t="shared" si="0"/>
        <v>#REF!</v>
      </c>
      <c r="N43" s="117" t="e">
        <f t="shared" si="1"/>
        <v>#REF!</v>
      </c>
      <c r="O43" s="107" t="e">
        <f t="shared" si="2"/>
        <v>#REF!</v>
      </c>
      <c r="P43" s="108" t="e">
        <f t="shared" si="3"/>
        <v>#REF!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2.5" hidden="1" customHeight="1">
      <c r="A44" s="25">
        <v>31</v>
      </c>
      <c r="B44" s="21" t="s">
        <v>276</v>
      </c>
      <c r="C44" s="62" t="s">
        <v>277</v>
      </c>
      <c r="D44" s="63" t="s">
        <v>274</v>
      </c>
      <c r="E44" s="21" t="s">
        <v>278</v>
      </c>
      <c r="F44" s="109" t="e">
        <f>VLOOKUP(B44,#REF!,21,0)</f>
        <v>#REF!</v>
      </c>
      <c r="G44" s="110" t="e">
        <f>VLOOKUP(B44,#REF!,21,0)</f>
        <v>#REF!</v>
      </c>
      <c r="H44" s="111">
        <v>6</v>
      </c>
      <c r="I44" s="112" t="e">
        <f>VLOOKUP(B44,#REF!,30,0)</f>
        <v>#REF!</v>
      </c>
      <c r="J44" s="113" t="e">
        <f>VLOOKUP(B44,#REF!,13,0)</f>
        <v>#REF!</v>
      </c>
      <c r="K44" s="114" t="e">
        <f>VLOOKUP(B44,#REF!,16,0)</f>
        <v>#REF!</v>
      </c>
      <c r="L44" s="115">
        <f>VLOOKUP(B44,'THEORY (2)'!$B$22:$O$67,13,0)</f>
        <v>0.3</v>
      </c>
      <c r="M44" s="116" t="e">
        <f t="shared" si="0"/>
        <v>#REF!</v>
      </c>
      <c r="N44" s="117" t="e">
        <f t="shared" si="1"/>
        <v>#REF!</v>
      </c>
      <c r="O44" s="107" t="e">
        <f t="shared" si="2"/>
        <v>#REF!</v>
      </c>
      <c r="P44" s="108" t="e">
        <f t="shared" si="3"/>
        <v>#REF!</v>
      </c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2.5" hidden="1" customHeight="1">
      <c r="A45" s="25">
        <v>32</v>
      </c>
      <c r="B45" s="21" t="s">
        <v>279</v>
      </c>
      <c r="C45" s="62" t="s">
        <v>280</v>
      </c>
      <c r="D45" s="63" t="s">
        <v>281</v>
      </c>
      <c r="E45" s="21" t="s">
        <v>282</v>
      </c>
      <c r="F45" s="109" t="e">
        <f>VLOOKUP(B45,#REF!,21,0)</f>
        <v>#REF!</v>
      </c>
      <c r="G45" s="110" t="e">
        <f>VLOOKUP(B45,#REF!,21,0)</f>
        <v>#REF!</v>
      </c>
      <c r="H45" s="111">
        <v>6</v>
      </c>
      <c r="I45" s="112" t="e">
        <f>VLOOKUP(B45,#REF!,30,0)</f>
        <v>#REF!</v>
      </c>
      <c r="J45" s="113" t="e">
        <f>VLOOKUP(B45,#REF!,13,0)</f>
        <v>#REF!</v>
      </c>
      <c r="K45" s="114" t="e">
        <f>VLOOKUP(B45,#REF!,16,0)</f>
        <v>#REF!</v>
      </c>
      <c r="L45" s="115">
        <f>VLOOKUP(B45,'THEORY (2)'!$B$22:$O$67,13,0)</f>
        <v>0.3</v>
      </c>
      <c r="M45" s="116" t="e">
        <f t="shared" si="0"/>
        <v>#REF!</v>
      </c>
      <c r="N45" s="117" t="e">
        <f t="shared" si="1"/>
        <v>#REF!</v>
      </c>
      <c r="O45" s="107" t="e">
        <f t="shared" si="2"/>
        <v>#REF!</v>
      </c>
      <c r="P45" s="108" t="e">
        <f t="shared" si="3"/>
        <v>#REF!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2.5" hidden="1" customHeight="1">
      <c r="A46" s="25">
        <v>33</v>
      </c>
      <c r="B46" s="21" t="s">
        <v>283</v>
      </c>
      <c r="C46" s="62" t="s">
        <v>284</v>
      </c>
      <c r="D46" s="63" t="s">
        <v>285</v>
      </c>
      <c r="E46" s="21" t="s">
        <v>286</v>
      </c>
      <c r="F46" s="109" t="e">
        <f>VLOOKUP(B46,#REF!,21,0)</f>
        <v>#REF!</v>
      </c>
      <c r="G46" s="110" t="e">
        <f>VLOOKUP(B46,#REF!,21,0)</f>
        <v>#REF!</v>
      </c>
      <c r="H46" s="118">
        <v>7</v>
      </c>
      <c r="I46" s="112" t="e">
        <f>VLOOKUP(B46,#REF!,30,0)</f>
        <v>#REF!</v>
      </c>
      <c r="J46" s="113" t="e">
        <f>VLOOKUP(B46,#REF!,13,0)</f>
        <v>#REF!</v>
      </c>
      <c r="K46" s="114" t="e">
        <f>VLOOKUP(B46,#REF!,16,0)</f>
        <v>#REF!</v>
      </c>
      <c r="L46" s="115">
        <f>VLOOKUP(B46,'THEORY (2)'!$B$22:$O$67,13,0)</f>
        <v>0</v>
      </c>
      <c r="M46" s="116" t="e">
        <f t="shared" si="0"/>
        <v>#REF!</v>
      </c>
      <c r="N46" s="117" t="e">
        <f t="shared" si="1"/>
        <v>#REF!</v>
      </c>
      <c r="O46" s="107" t="e">
        <f t="shared" si="2"/>
        <v>#REF!</v>
      </c>
      <c r="P46" s="108" t="e">
        <f t="shared" si="3"/>
        <v>#REF!</v>
      </c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2.5" hidden="1" customHeight="1">
      <c r="A47" s="25">
        <v>34</v>
      </c>
      <c r="B47" s="21" t="s">
        <v>287</v>
      </c>
      <c r="C47" s="62" t="s">
        <v>288</v>
      </c>
      <c r="D47" s="63" t="s">
        <v>289</v>
      </c>
      <c r="E47" s="21" t="s">
        <v>290</v>
      </c>
      <c r="F47" s="109" t="e">
        <f>VLOOKUP(B47,#REF!,21,0)</f>
        <v>#REF!</v>
      </c>
      <c r="G47" s="110" t="e">
        <f>VLOOKUP(B47,#REF!,21,0)</f>
        <v>#REF!</v>
      </c>
      <c r="H47" s="111">
        <v>2</v>
      </c>
      <c r="I47" s="112" t="e">
        <f>VLOOKUP(B47,#REF!,30,0)</f>
        <v>#REF!</v>
      </c>
      <c r="J47" s="113" t="e">
        <f>VLOOKUP(B47,#REF!,13,0)</f>
        <v>#REF!</v>
      </c>
      <c r="K47" s="114" t="e">
        <f>VLOOKUP(B47,#REF!,16,0)</f>
        <v>#REF!</v>
      </c>
      <c r="L47" s="115">
        <f>VLOOKUP(B47,'THEORY (2)'!$B$22:$O$67,13,0)</f>
        <v>0.9</v>
      </c>
      <c r="M47" s="116" t="e">
        <f t="shared" si="0"/>
        <v>#REF!</v>
      </c>
      <c r="N47" s="117" t="e">
        <f t="shared" si="1"/>
        <v>#REF!</v>
      </c>
      <c r="O47" s="107" t="e">
        <f t="shared" si="2"/>
        <v>#REF!</v>
      </c>
      <c r="P47" s="108" t="e">
        <f t="shared" si="3"/>
        <v>#REF!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2.5" hidden="1" customHeight="1">
      <c r="A48" s="25">
        <v>35</v>
      </c>
      <c r="B48" s="21" t="s">
        <v>291</v>
      </c>
      <c r="C48" s="62" t="s">
        <v>292</v>
      </c>
      <c r="D48" s="63" t="s">
        <v>293</v>
      </c>
      <c r="E48" s="21" t="s">
        <v>294</v>
      </c>
      <c r="F48" s="109" t="e">
        <f>VLOOKUP(B48,#REF!,21,0)</f>
        <v>#REF!</v>
      </c>
      <c r="G48" s="110" t="e">
        <f>VLOOKUP(B48,#REF!,21,0)</f>
        <v>#REF!</v>
      </c>
      <c r="H48" s="111">
        <v>3</v>
      </c>
      <c r="I48" s="112" t="e">
        <f>VLOOKUP(B48,#REF!,30,0)</f>
        <v>#REF!</v>
      </c>
      <c r="J48" s="113" t="e">
        <f>VLOOKUP(B48,#REF!,13,0)</f>
        <v>#REF!</v>
      </c>
      <c r="K48" s="114" t="e">
        <f>VLOOKUP(B48,#REF!,16,0)</f>
        <v>#REF!</v>
      </c>
      <c r="L48" s="115">
        <f>VLOOKUP(B48,'THEORY (2)'!$B$22:$O$67,13,0)</f>
        <v>0.4</v>
      </c>
      <c r="M48" s="116" t="e">
        <f t="shared" si="0"/>
        <v>#REF!</v>
      </c>
      <c r="N48" s="117" t="e">
        <f t="shared" si="1"/>
        <v>#REF!</v>
      </c>
      <c r="O48" s="107" t="e">
        <f t="shared" si="2"/>
        <v>#REF!</v>
      </c>
      <c r="P48" s="108" t="e">
        <f t="shared" si="3"/>
        <v>#REF!</v>
      </c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2.5" hidden="1" customHeight="1">
      <c r="A49" s="25">
        <v>36</v>
      </c>
      <c r="B49" s="21" t="s">
        <v>295</v>
      </c>
      <c r="C49" s="62" t="s">
        <v>296</v>
      </c>
      <c r="D49" s="63" t="s">
        <v>297</v>
      </c>
      <c r="E49" s="21" t="s">
        <v>298</v>
      </c>
      <c r="F49" s="109" t="e">
        <f>VLOOKUP(B49,#REF!,21,0)</f>
        <v>#REF!</v>
      </c>
      <c r="G49" s="110" t="e">
        <f>VLOOKUP(B49,#REF!,21,0)</f>
        <v>#REF!</v>
      </c>
      <c r="H49" s="111">
        <v>5</v>
      </c>
      <c r="I49" s="112" t="e">
        <f>VLOOKUP(B49,#REF!,30,0)</f>
        <v>#REF!</v>
      </c>
      <c r="J49" s="113" t="e">
        <f>VLOOKUP(B49,#REF!,13,0)</f>
        <v>#REF!</v>
      </c>
      <c r="K49" s="114" t="e">
        <f>VLOOKUP(B49,#REF!,16,0)</f>
        <v>#REF!</v>
      </c>
      <c r="L49" s="115">
        <f>VLOOKUP(B49,'THEORY (2)'!$B$22:$O$67,13,0)</f>
        <v>0</v>
      </c>
      <c r="M49" s="116" t="e">
        <f t="shared" si="0"/>
        <v>#REF!</v>
      </c>
      <c r="N49" s="117" t="e">
        <f t="shared" si="1"/>
        <v>#REF!</v>
      </c>
      <c r="O49" s="107" t="e">
        <f t="shared" si="2"/>
        <v>#REF!</v>
      </c>
      <c r="P49" s="108" t="e">
        <f t="shared" si="3"/>
        <v>#REF!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2.5" hidden="1" customHeight="1">
      <c r="A50" s="25">
        <v>37</v>
      </c>
      <c r="B50" s="21" t="s">
        <v>299</v>
      </c>
      <c r="C50" s="62" t="s">
        <v>300</v>
      </c>
      <c r="D50" s="63" t="s">
        <v>301</v>
      </c>
      <c r="E50" s="21" t="s">
        <v>302</v>
      </c>
      <c r="F50" s="109" t="e">
        <f>VLOOKUP(B50,#REF!,21,0)</f>
        <v>#REF!</v>
      </c>
      <c r="G50" s="110" t="e">
        <f>VLOOKUP(B50,#REF!,21,0)</f>
        <v>#REF!</v>
      </c>
      <c r="H50" s="118">
        <v>7</v>
      </c>
      <c r="I50" s="112" t="e">
        <f>VLOOKUP(B50,#REF!,30,0)</f>
        <v>#REF!</v>
      </c>
      <c r="J50" s="113" t="e">
        <f>VLOOKUP(B50,#REF!,13,0)</f>
        <v>#REF!</v>
      </c>
      <c r="K50" s="114" t="e">
        <f>VLOOKUP(B50,#REF!,16,0)</f>
        <v>#REF!</v>
      </c>
      <c r="L50" s="115">
        <f>VLOOKUP(B50,'THEORY (2)'!$B$22:$O$67,13,0)</f>
        <v>0.6</v>
      </c>
      <c r="M50" s="116" t="e">
        <f t="shared" si="0"/>
        <v>#REF!</v>
      </c>
      <c r="N50" s="119" t="e">
        <f t="shared" si="1"/>
        <v>#REF!</v>
      </c>
      <c r="O50" s="107" t="e">
        <f t="shared" si="2"/>
        <v>#REF!</v>
      </c>
      <c r="P50" s="108" t="e">
        <f t="shared" si="3"/>
        <v>#REF!</v>
      </c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2.5" hidden="1" customHeight="1">
      <c r="A51" s="25">
        <v>38</v>
      </c>
      <c r="B51" s="21" t="s">
        <v>303</v>
      </c>
      <c r="C51" s="62" t="s">
        <v>216</v>
      </c>
      <c r="D51" s="63" t="s">
        <v>304</v>
      </c>
      <c r="E51" s="21" t="s">
        <v>305</v>
      </c>
      <c r="F51" s="109" t="e">
        <f>VLOOKUP(B51,#REF!,21,0)</f>
        <v>#REF!</v>
      </c>
      <c r="G51" s="110" t="e">
        <f>VLOOKUP(B51,#REF!,21,0)</f>
        <v>#REF!</v>
      </c>
      <c r="H51" s="111">
        <v>0</v>
      </c>
      <c r="I51" s="112" t="e">
        <f>VLOOKUP(B51,#REF!,30,0)</f>
        <v>#REF!</v>
      </c>
      <c r="J51" s="113" t="e">
        <f>VLOOKUP(B51,#REF!,13,0)</f>
        <v>#REF!</v>
      </c>
      <c r="K51" s="114" t="e">
        <f>VLOOKUP(B51,#REF!,16,0)</f>
        <v>#REF!</v>
      </c>
      <c r="L51" s="115">
        <f>VLOOKUP(B51,'THEORY (2)'!$B$22:$O$67,13,0)</f>
        <v>0</v>
      </c>
      <c r="M51" s="116" t="e">
        <f t="shared" si="0"/>
        <v>#REF!</v>
      </c>
      <c r="N51" s="117" t="e">
        <f t="shared" si="1"/>
        <v>#REF!</v>
      </c>
      <c r="O51" s="107" t="e">
        <f t="shared" si="2"/>
        <v>#REF!</v>
      </c>
      <c r="P51" s="108" t="e">
        <f t="shared" si="3"/>
        <v>#REF!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2.5" hidden="1" customHeight="1">
      <c r="A52" s="25">
        <v>39</v>
      </c>
      <c r="B52" s="21" t="s">
        <v>306</v>
      </c>
      <c r="C52" s="62" t="s">
        <v>307</v>
      </c>
      <c r="D52" s="63" t="s">
        <v>304</v>
      </c>
      <c r="E52" s="21" t="s">
        <v>308</v>
      </c>
      <c r="F52" s="109" t="e">
        <f>VLOOKUP(B52,#REF!,21,0)</f>
        <v>#REF!</v>
      </c>
      <c r="G52" s="110" t="e">
        <f>VLOOKUP(B52,#REF!,21,0)</f>
        <v>#REF!</v>
      </c>
      <c r="H52" s="111">
        <v>5</v>
      </c>
      <c r="I52" s="112" t="e">
        <f>VLOOKUP(B52,#REF!,30,0)</f>
        <v>#REF!</v>
      </c>
      <c r="J52" s="113" t="e">
        <f>VLOOKUP(B52,#REF!,13,0)</f>
        <v>#REF!</v>
      </c>
      <c r="K52" s="114" t="e">
        <f>VLOOKUP(B52,#REF!,16,0)</f>
        <v>#REF!</v>
      </c>
      <c r="L52" s="115">
        <f>VLOOKUP(B52,'THEORY (2)'!$B$22:$O$67,13,0)</f>
        <v>0.3</v>
      </c>
      <c r="M52" s="116" t="e">
        <f t="shared" si="0"/>
        <v>#REF!</v>
      </c>
      <c r="N52" s="119" t="e">
        <f t="shared" si="1"/>
        <v>#REF!</v>
      </c>
      <c r="O52" s="107" t="e">
        <f t="shared" si="2"/>
        <v>#REF!</v>
      </c>
      <c r="P52" s="108" t="e">
        <f t="shared" si="3"/>
        <v>#REF!</v>
      </c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2.5" hidden="1" customHeight="1">
      <c r="A53" s="25">
        <v>40</v>
      </c>
      <c r="B53" s="21" t="s">
        <v>309</v>
      </c>
      <c r="C53" s="62" t="s">
        <v>310</v>
      </c>
      <c r="D53" s="63" t="s">
        <v>304</v>
      </c>
      <c r="E53" s="21" t="s">
        <v>311</v>
      </c>
      <c r="F53" s="109" t="e">
        <f>VLOOKUP(B53,#REF!,21,0)</f>
        <v>#REF!</v>
      </c>
      <c r="G53" s="110" t="e">
        <f>VLOOKUP(B53,#REF!,21,0)</f>
        <v>#REF!</v>
      </c>
      <c r="H53" s="118">
        <v>7</v>
      </c>
      <c r="I53" s="112" t="e">
        <f>VLOOKUP(B53,#REF!,30,0)</f>
        <v>#REF!</v>
      </c>
      <c r="J53" s="113" t="e">
        <f>VLOOKUP(B53,#REF!,13,0)</f>
        <v>#REF!</v>
      </c>
      <c r="K53" s="114" t="e">
        <f>VLOOKUP(B53,#REF!,16,0)</f>
        <v>#REF!</v>
      </c>
      <c r="L53" s="115">
        <f>VLOOKUP(B53,'THEORY (2)'!$B$22:$O$67,13,0)</f>
        <v>0</v>
      </c>
      <c r="M53" s="116" t="e">
        <f t="shared" si="0"/>
        <v>#REF!</v>
      </c>
      <c r="N53" s="119" t="e">
        <f t="shared" si="1"/>
        <v>#REF!</v>
      </c>
      <c r="O53" s="107" t="e">
        <f t="shared" si="2"/>
        <v>#REF!</v>
      </c>
      <c r="P53" s="108" t="e">
        <f t="shared" si="3"/>
        <v>#REF!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0.25" hidden="1" customHeight="1">
      <c r="A54" s="25">
        <v>41</v>
      </c>
      <c r="B54" s="21" t="s">
        <v>312</v>
      </c>
      <c r="C54" s="62" t="s">
        <v>313</v>
      </c>
      <c r="D54" s="63" t="s">
        <v>314</v>
      </c>
      <c r="E54" s="21" t="s">
        <v>315</v>
      </c>
      <c r="F54" s="109" t="e">
        <f>VLOOKUP(B54,#REF!,21,0)</f>
        <v>#REF!</v>
      </c>
      <c r="G54" s="110" t="e">
        <f>VLOOKUP(B54,#REF!,21,0)</f>
        <v>#REF!</v>
      </c>
      <c r="H54" s="111">
        <v>3</v>
      </c>
      <c r="I54" s="112" t="e">
        <f>VLOOKUP(B54,#REF!,30,0)</f>
        <v>#REF!</v>
      </c>
      <c r="J54" s="113" t="e">
        <f>VLOOKUP(B54,#REF!,13,0)</f>
        <v>#REF!</v>
      </c>
      <c r="K54" s="114" t="e">
        <f>VLOOKUP(B54,#REF!,16,0)</f>
        <v>#REF!</v>
      </c>
      <c r="L54" s="115">
        <f>VLOOKUP(B54,'THEORY (2)'!$B$22:$O$67,13,0)</f>
        <v>0</v>
      </c>
      <c r="M54" s="116" t="e">
        <f t="shared" si="0"/>
        <v>#REF!</v>
      </c>
      <c r="N54" s="117" t="e">
        <f t="shared" si="1"/>
        <v>#REF!</v>
      </c>
      <c r="O54" s="107" t="e">
        <f t="shared" si="2"/>
        <v>#REF!</v>
      </c>
      <c r="P54" s="108" t="e">
        <f t="shared" si="3"/>
        <v>#REF!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0.25" hidden="1" customHeight="1">
      <c r="A55" s="25">
        <v>42</v>
      </c>
      <c r="B55" s="21" t="s">
        <v>316</v>
      </c>
      <c r="C55" s="62" t="s">
        <v>317</v>
      </c>
      <c r="D55" s="63" t="s">
        <v>318</v>
      </c>
      <c r="E55" s="21" t="s">
        <v>319</v>
      </c>
      <c r="F55" s="109" t="e">
        <f>VLOOKUP(B55,#REF!,21,0)</f>
        <v>#REF!</v>
      </c>
      <c r="G55" s="110" t="e">
        <f>VLOOKUP(B55,#REF!,21,0)</f>
        <v>#REF!</v>
      </c>
      <c r="H55" s="118">
        <v>7</v>
      </c>
      <c r="I55" s="112" t="e">
        <f>VLOOKUP(B55,#REF!,30,0)</f>
        <v>#REF!</v>
      </c>
      <c r="J55" s="113" t="e">
        <f>VLOOKUP(B55,#REF!,13,0)</f>
        <v>#REF!</v>
      </c>
      <c r="K55" s="114" t="e">
        <f>VLOOKUP(B55,#REF!,16,0)</f>
        <v>#REF!</v>
      </c>
      <c r="L55" s="115">
        <f>VLOOKUP(B55,'THEORY (2)'!$B$22:$O$67,13,0)</f>
        <v>0.6</v>
      </c>
      <c r="M55" s="116" t="e">
        <f t="shared" si="0"/>
        <v>#REF!</v>
      </c>
      <c r="N55" s="119" t="e">
        <f t="shared" si="1"/>
        <v>#REF!</v>
      </c>
      <c r="O55" s="107" t="e">
        <f t="shared" si="2"/>
        <v>#REF!</v>
      </c>
      <c r="P55" s="108" t="e">
        <f t="shared" si="3"/>
        <v>#REF!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0.25" hidden="1" customHeight="1">
      <c r="A56" s="26">
        <v>43</v>
      </c>
      <c r="B56" s="195" t="s">
        <v>320</v>
      </c>
      <c r="C56" s="196" t="s">
        <v>321</v>
      </c>
      <c r="D56" s="197" t="s">
        <v>322</v>
      </c>
      <c r="E56" s="195" t="s">
        <v>323</v>
      </c>
      <c r="F56" s="126" t="e">
        <f>VLOOKUP(B56,#REF!,21,0)</f>
        <v>#REF!</v>
      </c>
      <c r="G56" s="127" t="e">
        <f>VLOOKUP(B56,#REF!,21,0)</f>
        <v>#REF!</v>
      </c>
      <c r="H56" s="128">
        <v>4</v>
      </c>
      <c r="I56" s="129" t="e">
        <f>VLOOKUP(B56,#REF!,30,0)</f>
        <v>#REF!</v>
      </c>
      <c r="J56" s="130" t="e">
        <f>VLOOKUP(B56,#REF!,13,0)</f>
        <v>#REF!</v>
      </c>
      <c r="K56" s="131" t="e">
        <f>VLOOKUP(B56,#REF!,16,0)</f>
        <v>#REF!</v>
      </c>
      <c r="L56" s="115">
        <f>VLOOKUP(B56,'THEORY (2)'!$B$22:$O$67,13,0)</f>
        <v>0</v>
      </c>
      <c r="M56" s="132" t="e">
        <f t="shared" si="0"/>
        <v>#REF!</v>
      </c>
      <c r="N56" s="133" t="e">
        <f t="shared" si="1"/>
        <v>#REF!</v>
      </c>
      <c r="O56" s="107" t="e">
        <f t="shared" si="2"/>
        <v>#REF!</v>
      </c>
      <c r="P56" s="108" t="e">
        <f t="shared" si="3"/>
        <v>#REF!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0.25" hidden="1" customHeight="1">
      <c r="A57" s="56">
        <v>1</v>
      </c>
      <c r="B57" s="18" t="s">
        <v>324</v>
      </c>
      <c r="C57" s="57" t="s">
        <v>325</v>
      </c>
      <c r="D57" s="58" t="s">
        <v>326</v>
      </c>
      <c r="E57" s="134" t="s">
        <v>327</v>
      </c>
      <c r="F57" s="135" t="e">
        <f>VLOOKUP(B57,#REF!,21,0)</f>
        <v>#REF!</v>
      </c>
      <c r="G57" s="136" t="e">
        <f>ROUND(SUM(#REF!,#REF!)/2,0)</f>
        <v>#REF!</v>
      </c>
      <c r="H57" s="137">
        <v>0</v>
      </c>
      <c r="I57" s="101" t="e">
        <f>VLOOKUP(B57,#REF!,30,0)</f>
        <v>#REF!</v>
      </c>
      <c r="J57" s="102" t="e">
        <f>VLOOKUP(B57,#REF!,13,0)</f>
        <v>#REF!</v>
      </c>
      <c r="K57" s="138" t="e">
        <f>VLOOKUP(B57,#REF!,16,0)</f>
        <v>#REF!</v>
      </c>
      <c r="L57" s="115">
        <f>VLOOKUP(B57,'THEORY (2)'!$B$22:$O$67,13,0)</f>
        <v>0</v>
      </c>
      <c r="M57" s="139" t="e">
        <f t="shared" si="0"/>
        <v>#REF!</v>
      </c>
      <c r="N57" s="140" t="e">
        <f t="shared" si="1"/>
        <v>#REF!</v>
      </c>
      <c r="O57" s="107" t="e">
        <f t="shared" si="2"/>
        <v>#REF!</v>
      </c>
      <c r="P57" s="108" t="e">
        <f t="shared" si="3"/>
        <v>#REF!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0.25" hidden="1" customHeight="1">
      <c r="A58" s="25">
        <v>2</v>
      </c>
      <c r="B58" s="20" t="s">
        <v>328</v>
      </c>
      <c r="C58" s="141" t="s">
        <v>329</v>
      </c>
      <c r="D58" s="142" t="s">
        <v>330</v>
      </c>
      <c r="E58" s="143" t="s">
        <v>331</v>
      </c>
      <c r="F58" s="126" t="e">
        <f>VLOOKUP(B58,#REF!,21,0)</f>
        <v>#REF!</v>
      </c>
      <c r="G58" s="110" t="e">
        <f>ROUND(SUM(#REF!,#REF!)/2,0)</f>
        <v>#REF!</v>
      </c>
      <c r="H58" s="111">
        <v>0</v>
      </c>
      <c r="I58" s="112" t="e">
        <f>VLOOKUP(B58,#REF!,30,0)</f>
        <v>#REF!</v>
      </c>
      <c r="J58" s="113" t="e">
        <f>VLOOKUP(B58,#REF!,13,0)</f>
        <v>#REF!</v>
      </c>
      <c r="K58" s="131" t="e">
        <f>VLOOKUP(B58,#REF!,16,0)</f>
        <v>#REF!</v>
      </c>
      <c r="L58" s="115">
        <f>VLOOKUP(B58,'THEORY (2)'!$B$22:$O$67,13,0)</f>
        <v>0</v>
      </c>
      <c r="M58" s="116" t="e">
        <f t="shared" si="0"/>
        <v>#REF!</v>
      </c>
      <c r="N58" s="117" t="e">
        <f t="shared" si="1"/>
        <v>#REF!</v>
      </c>
      <c r="O58" s="107" t="e">
        <f t="shared" si="2"/>
        <v>#REF!</v>
      </c>
      <c r="P58" s="108" t="e">
        <f t="shared" si="3"/>
        <v>#REF!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0.25" hidden="1" customHeight="1">
      <c r="A59" s="25">
        <v>3</v>
      </c>
      <c r="B59" s="21" t="s">
        <v>332</v>
      </c>
      <c r="C59" s="62" t="s">
        <v>197</v>
      </c>
      <c r="D59" s="63" t="s">
        <v>333</v>
      </c>
      <c r="E59" s="143" t="s">
        <v>334</v>
      </c>
      <c r="F59" s="126" t="e">
        <f>VLOOKUP(B59,#REF!,21,0)</f>
        <v>#REF!</v>
      </c>
      <c r="G59" s="110" t="e">
        <f>ROUND(SUM(#REF!,#REF!)/2,0)</f>
        <v>#REF!</v>
      </c>
      <c r="H59" s="111">
        <v>0</v>
      </c>
      <c r="I59" s="112" t="e">
        <f>VLOOKUP(B59,#REF!,30,0)</f>
        <v>#REF!</v>
      </c>
      <c r="J59" s="113" t="e">
        <f>VLOOKUP(B59,#REF!,13,0)</f>
        <v>#REF!</v>
      </c>
      <c r="K59" s="131" t="e">
        <f>VLOOKUP(B59,#REF!,16,0)</f>
        <v>#REF!</v>
      </c>
      <c r="L59" s="115">
        <f>VLOOKUP(B59,'THEORY (2)'!$B$22:$O$67,13,0)</f>
        <v>0</v>
      </c>
      <c r="M59" s="116" t="e">
        <f t="shared" si="0"/>
        <v>#REF!</v>
      </c>
      <c r="N59" s="117" t="e">
        <f t="shared" si="1"/>
        <v>#REF!</v>
      </c>
      <c r="O59" s="107" t="e">
        <f t="shared" si="2"/>
        <v>#REF!</v>
      </c>
      <c r="P59" s="108" t="e">
        <f t="shared" si="3"/>
        <v>#REF!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0.25" hidden="1" customHeight="1">
      <c r="A60" s="25">
        <v>4</v>
      </c>
      <c r="B60" s="21" t="s">
        <v>335</v>
      </c>
      <c r="C60" s="62" t="s">
        <v>336</v>
      </c>
      <c r="D60" s="63" t="s">
        <v>194</v>
      </c>
      <c r="E60" s="143" t="s">
        <v>337</v>
      </c>
      <c r="F60" s="126" t="e">
        <f>VLOOKUP(B60,#REF!,21,0)</f>
        <v>#REF!</v>
      </c>
      <c r="G60" s="110" t="e">
        <f>ROUND(SUM(#REF!,#REF!)/2,0)</f>
        <v>#REF!</v>
      </c>
      <c r="H60" s="111">
        <v>6</v>
      </c>
      <c r="I60" s="112" t="e">
        <f>VLOOKUP(B60,#REF!,30,0)</f>
        <v>#REF!</v>
      </c>
      <c r="J60" s="113" t="e">
        <f>VLOOKUP(B60,#REF!,13,0)</f>
        <v>#REF!</v>
      </c>
      <c r="K60" s="131" t="e">
        <f>VLOOKUP(B60,#REF!,16,0)</f>
        <v>#REF!</v>
      </c>
      <c r="L60" s="115">
        <f>VLOOKUP(B60,'THEORY (2)'!$B$22:$O$67,13,0)</f>
        <v>0.6</v>
      </c>
      <c r="M60" s="116" t="e">
        <f t="shared" si="0"/>
        <v>#REF!</v>
      </c>
      <c r="N60" s="117" t="e">
        <f t="shared" si="1"/>
        <v>#REF!</v>
      </c>
      <c r="O60" s="107" t="e">
        <f t="shared" si="2"/>
        <v>#REF!</v>
      </c>
      <c r="P60" s="108" t="e">
        <f t="shared" si="3"/>
        <v>#REF!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0.25" hidden="1" customHeight="1">
      <c r="A61" s="25">
        <v>5</v>
      </c>
      <c r="B61" s="21" t="s">
        <v>338</v>
      </c>
      <c r="C61" s="62" t="s">
        <v>339</v>
      </c>
      <c r="D61" s="63" t="s">
        <v>340</v>
      </c>
      <c r="E61" s="143" t="s">
        <v>341</v>
      </c>
      <c r="F61" s="126" t="e">
        <f>VLOOKUP(B61,#REF!,21,0)</f>
        <v>#REF!</v>
      </c>
      <c r="G61" s="110" t="e">
        <f>ROUND(SUM(#REF!,#REF!)/2,0)</f>
        <v>#REF!</v>
      </c>
      <c r="H61" s="111">
        <v>1</v>
      </c>
      <c r="I61" s="112" t="e">
        <f>VLOOKUP(B61,#REF!,30,0)</f>
        <v>#REF!</v>
      </c>
      <c r="J61" s="113" t="e">
        <f>VLOOKUP(B61,#REF!,13,0)</f>
        <v>#REF!</v>
      </c>
      <c r="K61" s="131" t="e">
        <f>VLOOKUP(B61,#REF!,16,0)</f>
        <v>#REF!</v>
      </c>
      <c r="L61" s="115">
        <f>VLOOKUP(B61,'THEORY (2)'!$B$22:$O$67,13,0)</f>
        <v>0</v>
      </c>
      <c r="M61" s="116" t="e">
        <f t="shared" si="0"/>
        <v>#REF!</v>
      </c>
      <c r="N61" s="117" t="e">
        <f t="shared" si="1"/>
        <v>#REF!</v>
      </c>
      <c r="O61" s="107" t="e">
        <f t="shared" si="2"/>
        <v>#REF!</v>
      </c>
      <c r="P61" s="108" t="e">
        <f t="shared" si="3"/>
        <v>#REF!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0.25" hidden="1" customHeight="1">
      <c r="A62" s="25">
        <v>6</v>
      </c>
      <c r="B62" s="20" t="s">
        <v>342</v>
      </c>
      <c r="C62" s="144" t="s">
        <v>343</v>
      </c>
      <c r="D62" s="145" t="s">
        <v>225</v>
      </c>
      <c r="E62" s="146" t="s">
        <v>260</v>
      </c>
      <c r="F62" s="126" t="e">
        <f>VLOOKUP(B62,#REF!,21,0)</f>
        <v>#REF!</v>
      </c>
      <c r="G62" s="110" t="e">
        <f>ROUND(SUM(#REF!,#REF!)/2,0)</f>
        <v>#REF!</v>
      </c>
      <c r="H62" s="111">
        <v>5</v>
      </c>
      <c r="I62" s="112" t="e">
        <f>VLOOKUP(B62,#REF!,30,0)</f>
        <v>#REF!</v>
      </c>
      <c r="J62" s="113" t="e">
        <f>VLOOKUP(B62,#REF!,13,0)</f>
        <v>#REF!</v>
      </c>
      <c r="K62" s="131" t="e">
        <f>VLOOKUP(B62,#REF!,16,0)</f>
        <v>#REF!</v>
      </c>
      <c r="L62" s="115">
        <f>VLOOKUP(B62,'THEORY (2)'!$B$22:$O$67,13,0)</f>
        <v>0</v>
      </c>
      <c r="M62" s="116" t="e">
        <f t="shared" si="0"/>
        <v>#REF!</v>
      </c>
      <c r="N62" s="117" t="e">
        <f t="shared" si="1"/>
        <v>#REF!</v>
      </c>
      <c r="O62" s="107" t="e">
        <f t="shared" si="2"/>
        <v>#REF!</v>
      </c>
      <c r="P62" s="108" t="e">
        <f t="shared" si="3"/>
        <v>#REF!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0.25" hidden="1" customHeight="1">
      <c r="A63" s="25">
        <v>7</v>
      </c>
      <c r="B63" s="207" t="s">
        <v>344</v>
      </c>
      <c r="C63" s="208" t="s">
        <v>345</v>
      </c>
      <c r="D63" s="209" t="s">
        <v>346</v>
      </c>
      <c r="E63" s="210" t="s">
        <v>347</v>
      </c>
      <c r="F63" s="126" t="e">
        <f>VLOOKUP(B63,#REF!,21,0)</f>
        <v>#REF!</v>
      </c>
      <c r="G63" s="110" t="e">
        <f>ROUND(SUM(#REF!,#REF!)/2,0)</f>
        <v>#REF!</v>
      </c>
      <c r="H63" s="111">
        <v>0</v>
      </c>
      <c r="I63" s="112" t="e">
        <f>VLOOKUP(B63,#REF!,30,0)</f>
        <v>#REF!</v>
      </c>
      <c r="J63" s="113" t="e">
        <f>VLOOKUP(B63,#REF!,13,0)</f>
        <v>#REF!</v>
      </c>
      <c r="K63" s="131" t="e">
        <f>VLOOKUP(B63,#REF!,16,0)</f>
        <v>#REF!</v>
      </c>
      <c r="L63" s="115">
        <f>VLOOKUP(B63,'THEORY (2)'!$B$22:$O$67,13,0)</f>
        <v>0</v>
      </c>
      <c r="M63" s="116" t="e">
        <f t="shared" si="0"/>
        <v>#REF!</v>
      </c>
      <c r="N63" s="117" t="e">
        <f t="shared" si="1"/>
        <v>#REF!</v>
      </c>
      <c r="O63" s="107" t="e">
        <f t="shared" si="2"/>
        <v>#REF!</v>
      </c>
      <c r="P63" s="108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0.25" hidden="1" customHeight="1">
      <c r="A64" s="25">
        <v>8</v>
      </c>
      <c r="B64" s="207" t="s">
        <v>348</v>
      </c>
      <c r="C64" s="208" t="s">
        <v>349</v>
      </c>
      <c r="D64" s="209" t="s">
        <v>350</v>
      </c>
      <c r="E64" s="210" t="s">
        <v>351</v>
      </c>
      <c r="F64" s="126" t="e">
        <f>VLOOKUP(B64,#REF!,21,0)</f>
        <v>#REF!</v>
      </c>
      <c r="G64" s="110" t="e">
        <f>ROUND(SUM(#REF!,#REF!)/2,0)</f>
        <v>#REF!</v>
      </c>
      <c r="H64" s="111">
        <v>0</v>
      </c>
      <c r="I64" s="112" t="e">
        <f>VLOOKUP(B64,#REF!,30,0)</f>
        <v>#REF!</v>
      </c>
      <c r="J64" s="113" t="e">
        <f>VLOOKUP(B64,#REF!,13,0)</f>
        <v>#REF!</v>
      </c>
      <c r="K64" s="131" t="e">
        <f>VLOOKUP(B64,#REF!,16,0)</f>
        <v>#REF!</v>
      </c>
      <c r="L64" s="115">
        <f>VLOOKUP(B64,'THEORY (2)'!$B$22:$O$67,13,0)</f>
        <v>0</v>
      </c>
      <c r="M64" s="116" t="e">
        <f t="shared" si="0"/>
        <v>#REF!</v>
      </c>
      <c r="N64" s="117" t="e">
        <f t="shared" si="1"/>
        <v>#REF!</v>
      </c>
      <c r="O64" s="107" t="e">
        <f t="shared" si="2"/>
        <v>#REF!</v>
      </c>
      <c r="P64" s="108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0.25" customHeight="1">
      <c r="A65" s="25">
        <v>9</v>
      </c>
      <c r="B65" s="207" t="s">
        <v>352</v>
      </c>
      <c r="C65" s="208" t="s">
        <v>353</v>
      </c>
      <c r="D65" s="209" t="s">
        <v>354</v>
      </c>
      <c r="E65" s="210" t="s">
        <v>355</v>
      </c>
      <c r="F65" s="109">
        <v>0</v>
      </c>
      <c r="G65" s="110" t="e">
        <f>ROUND(SUM(#REF!,#REF!)/2,0)</f>
        <v>#REF!</v>
      </c>
      <c r="H65" s="111">
        <v>4</v>
      </c>
      <c r="I65" s="112" t="e">
        <f>VLOOKUP(B65,#REF!,30,0)</f>
        <v>#REF!</v>
      </c>
      <c r="J65" s="113" t="e">
        <f>VLOOKUP(B65,#REF!,13,0)</f>
        <v>#REF!</v>
      </c>
      <c r="K65" s="131" t="e">
        <f>VLOOKUP(B65,#REF!,16,0)</f>
        <v>#REF!</v>
      </c>
      <c r="L65" s="115">
        <f>VLOOKUP(B65,'THEORY (2)'!$B$22:$O$67,13,0)</f>
        <v>0.9</v>
      </c>
      <c r="M65" s="116" t="e">
        <f t="shared" si="0"/>
        <v>#REF!</v>
      </c>
      <c r="N65" s="117" t="e">
        <f t="shared" si="1"/>
        <v>#REF!</v>
      </c>
      <c r="O65" s="107" t="e">
        <f t="shared" si="2"/>
        <v>#REF!</v>
      </c>
      <c r="P65" s="108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0.25" hidden="1" customHeight="1">
      <c r="A66" s="26">
        <v>10</v>
      </c>
      <c r="B66" s="147" t="s">
        <v>356</v>
      </c>
      <c r="C66" s="148" t="s">
        <v>325</v>
      </c>
      <c r="D66" s="149" t="s">
        <v>354</v>
      </c>
      <c r="E66" s="210" t="s">
        <v>357</v>
      </c>
      <c r="F66" s="109">
        <v>0</v>
      </c>
      <c r="G66" s="110" t="e">
        <f>ROUND(SUM(#REF!,#REF!)/2,0)</f>
        <v>#REF!</v>
      </c>
      <c r="H66" s="111">
        <v>0</v>
      </c>
      <c r="I66" s="112" t="e">
        <f>VLOOKUP(B66,#REF!,30,0)</f>
        <v>#REF!</v>
      </c>
      <c r="J66" s="113" t="e">
        <f>VLOOKUP(B66,#REF!,13,0)</f>
        <v>#REF!</v>
      </c>
      <c r="K66" s="131" t="e">
        <f>VLOOKUP(B66,#REF!,16,0)</f>
        <v>#REF!</v>
      </c>
      <c r="L66" s="115" t="e">
        <f>#REF!</f>
        <v>#REF!</v>
      </c>
      <c r="M66" s="116" t="e">
        <f t="shared" si="0"/>
        <v>#REF!</v>
      </c>
      <c r="N66" s="117" t="e">
        <f t="shared" si="1"/>
        <v>#REF!</v>
      </c>
      <c r="O66" s="107" t="e">
        <f t="shared" si="2"/>
        <v>#REF!</v>
      </c>
      <c r="P66" s="108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0.25" hidden="1" customHeight="1">
      <c r="A67" s="26">
        <v>11</v>
      </c>
      <c r="B67" s="147" t="s">
        <v>358</v>
      </c>
      <c r="C67" s="148" t="s">
        <v>359</v>
      </c>
      <c r="D67" s="149" t="s">
        <v>360</v>
      </c>
      <c r="E67" s="210" t="s">
        <v>361</v>
      </c>
      <c r="F67" s="109">
        <v>0</v>
      </c>
      <c r="G67" s="110" t="e">
        <f>ROUND(SUM(#REF!,#REF!)/2,0)</f>
        <v>#REF!</v>
      </c>
      <c r="H67" s="111">
        <v>0</v>
      </c>
      <c r="I67" s="112" t="e">
        <f>VLOOKUP(B67,#REF!,30,0)</f>
        <v>#REF!</v>
      </c>
      <c r="J67" s="113" t="e">
        <f>VLOOKUP(B67,#REF!,13,0)</f>
        <v>#REF!</v>
      </c>
      <c r="K67" s="131" t="e">
        <f>VLOOKUP(B67,#REF!,16,0)</f>
        <v>#REF!</v>
      </c>
      <c r="L67" s="115" t="e">
        <f>#REF!</f>
        <v>#REF!</v>
      </c>
      <c r="M67" s="116" t="e">
        <f t="shared" si="0"/>
        <v>#REF!</v>
      </c>
      <c r="N67" s="117" t="e">
        <f t="shared" si="1"/>
        <v>#REF!</v>
      </c>
      <c r="O67" s="107" t="e">
        <f t="shared" si="2"/>
        <v>#REF!</v>
      </c>
      <c r="P67" s="108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0.25" hidden="1" customHeight="1">
      <c r="A68" s="26">
        <v>12</v>
      </c>
      <c r="B68" s="147" t="s">
        <v>362</v>
      </c>
      <c r="C68" s="148" t="s">
        <v>212</v>
      </c>
      <c r="D68" s="149" t="s">
        <v>363</v>
      </c>
      <c r="E68" s="210" t="s">
        <v>364</v>
      </c>
      <c r="F68" s="109">
        <v>0</v>
      </c>
      <c r="G68" s="110" t="e">
        <f>ROUND(SUM(#REF!,#REF!)/2,0)</f>
        <v>#REF!</v>
      </c>
      <c r="H68" s="111">
        <v>0</v>
      </c>
      <c r="I68" s="112" t="e">
        <f>VLOOKUP(B68,#REF!,30,0)</f>
        <v>#REF!</v>
      </c>
      <c r="J68" s="113" t="e">
        <f>VLOOKUP(B68,#REF!,13,0)</f>
        <v>#REF!</v>
      </c>
      <c r="K68" s="131" t="e">
        <f>VLOOKUP(B68,#REF!,16,0)</f>
        <v>#REF!</v>
      </c>
      <c r="L68" s="115" t="e">
        <f>#REF!</f>
        <v>#REF!</v>
      </c>
      <c r="M68" s="116" t="e">
        <f t="shared" si="0"/>
        <v>#REF!</v>
      </c>
      <c r="N68" s="117" t="e">
        <f t="shared" si="1"/>
        <v>#REF!</v>
      </c>
      <c r="O68" s="107" t="e">
        <f t="shared" si="2"/>
        <v>#REF!</v>
      </c>
      <c r="P68" s="108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20.25" hidden="1" customHeight="1">
      <c r="A69" s="26">
        <v>13</v>
      </c>
      <c r="B69" s="147" t="s">
        <v>365</v>
      </c>
      <c r="C69" s="148" t="s">
        <v>366</v>
      </c>
      <c r="D69" s="149" t="s">
        <v>318</v>
      </c>
      <c r="E69" s="210" t="s">
        <v>367</v>
      </c>
      <c r="F69" s="109">
        <v>0</v>
      </c>
      <c r="G69" s="110" t="e">
        <f>ROUND(SUM(#REF!,#REF!)/2,0)</f>
        <v>#REF!</v>
      </c>
      <c r="H69" s="111">
        <v>4</v>
      </c>
      <c r="I69" s="112" t="e">
        <f>VLOOKUP(B69,#REF!,30,0)</f>
        <v>#REF!</v>
      </c>
      <c r="J69" s="113" t="e">
        <f>VLOOKUP(B69,#REF!,13,0)</f>
        <v>#REF!</v>
      </c>
      <c r="K69" s="131" t="e">
        <f>VLOOKUP(B69,#REF!,16,0)</f>
        <v>#REF!</v>
      </c>
      <c r="L69" s="115" t="e">
        <f>#REF!</f>
        <v>#REF!</v>
      </c>
      <c r="M69" s="116" t="e">
        <f t="shared" si="0"/>
        <v>#REF!</v>
      </c>
      <c r="N69" s="117" t="e">
        <f t="shared" si="1"/>
        <v>#REF!</v>
      </c>
      <c r="O69" s="107" t="e">
        <f t="shared" si="2"/>
        <v>#REF!</v>
      </c>
      <c r="P69" s="108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0.25" customHeight="1">
      <c r="A70" s="27"/>
      <c r="B70" s="28"/>
      <c r="C70" s="150"/>
      <c r="D70" s="151"/>
      <c r="E70" s="152"/>
      <c r="F70" s="153"/>
      <c r="G70" s="154"/>
      <c r="H70" s="155"/>
      <c r="I70" s="156"/>
      <c r="J70" s="157"/>
      <c r="K70" s="158"/>
      <c r="L70" s="159"/>
      <c r="M70" s="160"/>
      <c r="N70" s="161"/>
      <c r="O70" s="107" t="str">
        <f t="shared" si="2"/>
        <v>Fail</v>
      </c>
      <c r="P70" s="108" t="str">
        <f>IF(N70&gt;=6.5,"CMU","")</f>
        <v/>
      </c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0.25" customHeight="1">
      <c r="A71" s="22"/>
      <c r="B71" s="24"/>
      <c r="C71" s="30"/>
      <c r="D71" s="24"/>
      <c r="E71" s="24"/>
      <c r="F71" s="24"/>
      <c r="G71" s="24"/>
      <c r="H71" s="24"/>
      <c r="I71" s="24"/>
      <c r="J71" s="24"/>
      <c r="K71" s="162"/>
      <c r="L71" s="162"/>
      <c r="M71" s="24"/>
      <c r="N71" s="22"/>
      <c r="O71" s="91"/>
      <c r="P71" s="91">
        <f>COUNTIF(P14:P70,"CMU")</f>
        <v>0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25" customHeight="1">
      <c r="A72" s="22"/>
      <c r="B72" s="24"/>
      <c r="C72" s="30"/>
      <c r="D72" s="24"/>
      <c r="E72" s="24"/>
      <c r="F72" s="24"/>
      <c r="G72" s="24"/>
      <c r="H72" s="24"/>
      <c r="I72" s="24"/>
      <c r="J72" s="24"/>
      <c r="K72" s="162"/>
      <c r="L72" s="162"/>
      <c r="M72" s="24"/>
      <c r="N72" s="22"/>
      <c r="O72" s="107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0.25" customHeight="1">
      <c r="A73" s="22"/>
      <c r="B73" s="24"/>
      <c r="C73" s="30"/>
      <c r="D73" s="24"/>
      <c r="E73" s="24"/>
      <c r="F73" s="24"/>
      <c r="G73" s="24"/>
      <c r="H73" s="24"/>
      <c r="I73" s="24"/>
      <c r="J73" s="24"/>
      <c r="K73" s="162"/>
      <c r="L73" s="162"/>
      <c r="M73" s="24"/>
      <c r="N73" s="22"/>
      <c r="O73" s="107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0.25" customHeight="1">
      <c r="A74" s="22"/>
      <c r="B74" s="24"/>
      <c r="C74" s="30"/>
      <c r="D74" s="24"/>
      <c r="E74" s="24"/>
      <c r="F74" s="24"/>
      <c r="G74" s="24"/>
      <c r="H74" s="24"/>
      <c r="I74" s="24"/>
      <c r="J74" s="24"/>
      <c r="K74" s="162"/>
      <c r="L74" s="162"/>
      <c r="M74" s="24"/>
      <c r="N74" s="22"/>
      <c r="O74" s="107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0.25" customHeight="1">
      <c r="A75" s="22"/>
      <c r="B75" s="24"/>
      <c r="C75" s="30"/>
      <c r="D75" s="24"/>
      <c r="E75" s="24"/>
      <c r="F75" s="24"/>
      <c r="G75" s="24"/>
      <c r="H75" s="24"/>
      <c r="I75" s="24"/>
      <c r="J75" s="24"/>
      <c r="K75" s="162"/>
      <c r="L75" s="162"/>
      <c r="M75" s="24"/>
      <c r="N75" s="22"/>
      <c r="O75" s="107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0.25" customHeight="1">
      <c r="A76" s="22"/>
      <c r="B76" s="24"/>
      <c r="C76" s="30"/>
      <c r="D76" s="24"/>
      <c r="E76" s="24"/>
      <c r="F76" s="24"/>
      <c r="G76" s="24"/>
      <c r="H76" s="24"/>
      <c r="I76" s="24"/>
      <c r="J76" s="24"/>
      <c r="K76" s="162"/>
      <c r="L76" s="162"/>
      <c r="M76" s="24"/>
      <c r="N76" s="22"/>
      <c r="O76" s="107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0.25" customHeight="1">
      <c r="A77" s="22"/>
      <c r="B77" s="24"/>
      <c r="C77" s="30"/>
      <c r="D77" s="24"/>
      <c r="E77" s="24"/>
      <c r="F77" s="24"/>
      <c r="G77" s="24"/>
      <c r="H77" s="24"/>
      <c r="I77" s="24"/>
      <c r="J77" s="24"/>
      <c r="K77" s="162"/>
      <c r="L77" s="162"/>
      <c r="M77" s="24"/>
      <c r="N77" s="22"/>
      <c r="O77" s="107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0.25" customHeight="1">
      <c r="A78" s="22"/>
      <c r="B78" s="24"/>
      <c r="C78" s="30"/>
      <c r="D78" s="24"/>
      <c r="E78" s="24"/>
      <c r="F78" s="24"/>
      <c r="G78" s="24"/>
      <c r="H78" s="24"/>
      <c r="I78" s="24"/>
      <c r="J78" s="24"/>
      <c r="K78" s="162"/>
      <c r="L78" s="162"/>
      <c r="M78" s="24"/>
      <c r="N78" s="22"/>
      <c r="O78" s="107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0.25" customHeight="1">
      <c r="A79" s="22"/>
      <c r="B79" s="24"/>
      <c r="C79" s="30"/>
      <c r="D79" s="24"/>
      <c r="E79" s="24"/>
      <c r="F79" s="24"/>
      <c r="G79" s="24"/>
      <c r="H79" s="24"/>
      <c r="I79" s="24"/>
      <c r="J79" s="24"/>
      <c r="K79" s="162"/>
      <c r="L79" s="162"/>
      <c r="M79" s="24"/>
      <c r="N79" s="22"/>
      <c r="O79" s="107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0.25" customHeight="1">
      <c r="A80" s="22"/>
      <c r="B80" s="24"/>
      <c r="C80" s="30"/>
      <c r="D80" s="24"/>
      <c r="E80" s="24"/>
      <c r="F80" s="24"/>
      <c r="G80" s="24"/>
      <c r="H80" s="24"/>
      <c r="I80" s="24"/>
      <c r="J80" s="24"/>
      <c r="K80" s="162"/>
      <c r="L80" s="162"/>
      <c r="M80" s="24"/>
      <c r="N80" s="22"/>
      <c r="O80" s="107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0.25" customHeight="1">
      <c r="A81" s="22"/>
      <c r="B81" s="24"/>
      <c r="C81" s="30"/>
      <c r="D81" s="24"/>
      <c r="E81" s="24"/>
      <c r="F81" s="24"/>
      <c r="G81" s="24"/>
      <c r="H81" s="24"/>
      <c r="I81" s="24"/>
      <c r="J81" s="24"/>
      <c r="K81" s="162"/>
      <c r="L81" s="162"/>
      <c r="M81" s="24"/>
      <c r="N81" s="22"/>
      <c r="O81" s="107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0.25" customHeight="1">
      <c r="A82" s="22"/>
      <c r="B82" s="24"/>
      <c r="C82" s="30"/>
      <c r="D82" s="24"/>
      <c r="E82" s="24"/>
      <c r="F82" s="24"/>
      <c r="G82" s="24"/>
      <c r="H82" s="24"/>
      <c r="I82" s="24"/>
      <c r="J82" s="24"/>
      <c r="K82" s="162"/>
      <c r="L82" s="162"/>
      <c r="M82" s="24"/>
      <c r="N82" s="22"/>
      <c r="O82" s="107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0.25" customHeight="1">
      <c r="A83" s="22"/>
      <c r="B83" s="24"/>
      <c r="C83" s="30"/>
      <c r="D83" s="24"/>
      <c r="E83" s="24"/>
      <c r="F83" s="24"/>
      <c r="G83" s="24"/>
      <c r="H83" s="24"/>
      <c r="I83" s="24"/>
      <c r="J83" s="24"/>
      <c r="K83" s="162"/>
      <c r="L83" s="162"/>
      <c r="M83" s="24"/>
      <c r="N83" s="22"/>
      <c r="O83" s="107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0.25" customHeight="1">
      <c r="A84" s="22"/>
      <c r="B84" s="24"/>
      <c r="C84" s="30"/>
      <c r="D84" s="24"/>
      <c r="E84" s="24"/>
      <c r="F84" s="24"/>
      <c r="G84" s="24"/>
      <c r="H84" s="24"/>
      <c r="I84" s="24"/>
      <c r="J84" s="24"/>
      <c r="K84" s="162"/>
      <c r="L84" s="162"/>
      <c r="M84" s="24"/>
      <c r="N84" s="22"/>
      <c r="O84" s="107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0.25" customHeight="1">
      <c r="A85" s="22"/>
      <c r="B85" s="24"/>
      <c r="C85" s="30"/>
      <c r="D85" s="24"/>
      <c r="E85" s="24"/>
      <c r="F85" s="24"/>
      <c r="G85" s="24"/>
      <c r="H85" s="24"/>
      <c r="I85" s="24"/>
      <c r="J85" s="24"/>
      <c r="K85" s="162"/>
      <c r="L85" s="162"/>
      <c r="M85" s="24"/>
      <c r="N85" s="22"/>
      <c r="O85" s="107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0.25" customHeight="1">
      <c r="A86" s="22"/>
      <c r="B86" s="24"/>
      <c r="C86" s="30"/>
      <c r="D86" s="24"/>
      <c r="E86" s="24"/>
      <c r="F86" s="24"/>
      <c r="G86" s="24"/>
      <c r="H86" s="24"/>
      <c r="I86" s="24"/>
      <c r="J86" s="24"/>
      <c r="K86" s="162"/>
      <c r="L86" s="162"/>
      <c r="M86" s="24"/>
      <c r="N86" s="22"/>
      <c r="O86" s="107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0.25" customHeight="1">
      <c r="A87" s="22"/>
      <c r="B87" s="24"/>
      <c r="C87" s="30"/>
      <c r="D87" s="24"/>
      <c r="E87" s="24"/>
      <c r="F87" s="24"/>
      <c r="G87" s="24"/>
      <c r="H87" s="24"/>
      <c r="I87" s="24"/>
      <c r="J87" s="24"/>
      <c r="K87" s="162"/>
      <c r="L87" s="162"/>
      <c r="M87" s="24"/>
      <c r="N87" s="22"/>
      <c r="O87" s="107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0.25" customHeight="1">
      <c r="A88" s="22"/>
      <c r="B88" s="24"/>
      <c r="C88" s="30"/>
      <c r="D88" s="24"/>
      <c r="E88" s="24"/>
      <c r="F88" s="24"/>
      <c r="G88" s="24"/>
      <c r="H88" s="24"/>
      <c r="I88" s="24"/>
      <c r="J88" s="24"/>
      <c r="K88" s="162"/>
      <c r="L88" s="162"/>
      <c r="M88" s="24"/>
      <c r="N88" s="22"/>
      <c r="O88" s="107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0.25" customHeight="1">
      <c r="A89" s="22"/>
      <c r="B89" s="24"/>
      <c r="C89" s="30"/>
      <c r="D89" s="24"/>
      <c r="E89" s="24"/>
      <c r="F89" s="24"/>
      <c r="G89" s="24"/>
      <c r="H89" s="24"/>
      <c r="I89" s="24"/>
      <c r="J89" s="24"/>
      <c r="K89" s="162"/>
      <c r="L89" s="162"/>
      <c r="M89" s="24"/>
      <c r="N89" s="22"/>
      <c r="O89" s="107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0.25" customHeight="1">
      <c r="A90" s="22"/>
      <c r="B90" s="24"/>
      <c r="C90" s="30"/>
      <c r="D90" s="24"/>
      <c r="E90" s="24"/>
      <c r="F90" s="24"/>
      <c r="G90" s="24"/>
      <c r="H90" s="24"/>
      <c r="I90" s="24"/>
      <c r="J90" s="24"/>
      <c r="K90" s="162"/>
      <c r="L90" s="162"/>
      <c r="M90" s="24"/>
      <c r="N90" s="22"/>
      <c r="O90" s="107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0.25" customHeight="1">
      <c r="A91" s="22"/>
      <c r="B91" s="24"/>
      <c r="C91" s="30"/>
      <c r="D91" s="24"/>
      <c r="E91" s="24"/>
      <c r="F91" s="24"/>
      <c r="G91" s="24"/>
      <c r="H91" s="24"/>
      <c r="I91" s="24"/>
      <c r="J91" s="24"/>
      <c r="K91" s="162"/>
      <c r="L91" s="162"/>
      <c r="M91" s="24"/>
      <c r="N91" s="22"/>
      <c r="O91" s="107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0.25" customHeight="1">
      <c r="A92" s="22"/>
      <c r="B92" s="24"/>
      <c r="C92" s="30"/>
      <c r="D92" s="24"/>
      <c r="E92" s="24"/>
      <c r="F92" s="24"/>
      <c r="G92" s="24"/>
      <c r="H92" s="24"/>
      <c r="I92" s="24"/>
      <c r="J92" s="24"/>
      <c r="K92" s="162"/>
      <c r="L92" s="162"/>
      <c r="M92" s="24"/>
      <c r="N92" s="22"/>
      <c r="O92" s="107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0.25" customHeight="1">
      <c r="A93" s="22"/>
      <c r="B93" s="24"/>
      <c r="C93" s="30"/>
      <c r="D93" s="24"/>
      <c r="E93" s="24"/>
      <c r="F93" s="24"/>
      <c r="G93" s="24"/>
      <c r="H93" s="24"/>
      <c r="I93" s="24"/>
      <c r="J93" s="24"/>
      <c r="K93" s="162"/>
      <c r="L93" s="162"/>
      <c r="M93" s="24"/>
      <c r="N93" s="22"/>
      <c r="O93" s="107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0.25" customHeight="1">
      <c r="A94" s="22"/>
      <c r="B94" s="24"/>
      <c r="C94" s="30"/>
      <c r="D94" s="24"/>
      <c r="E94" s="24"/>
      <c r="F94" s="24"/>
      <c r="G94" s="24"/>
      <c r="H94" s="24"/>
      <c r="I94" s="24"/>
      <c r="J94" s="24"/>
      <c r="K94" s="162"/>
      <c r="L94" s="162"/>
      <c r="M94" s="24"/>
      <c r="N94" s="22"/>
      <c r="O94" s="107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0.25" customHeight="1">
      <c r="A95" s="22"/>
      <c r="B95" s="24"/>
      <c r="C95" s="30"/>
      <c r="D95" s="24"/>
      <c r="E95" s="24"/>
      <c r="F95" s="24"/>
      <c r="G95" s="24"/>
      <c r="H95" s="24"/>
      <c r="I95" s="24"/>
      <c r="J95" s="24"/>
      <c r="K95" s="162"/>
      <c r="L95" s="162"/>
      <c r="M95" s="24"/>
      <c r="N95" s="22"/>
      <c r="O95" s="107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0.25" customHeight="1">
      <c r="A96" s="22"/>
      <c r="B96" s="24"/>
      <c r="C96" s="30"/>
      <c r="D96" s="24"/>
      <c r="E96" s="24"/>
      <c r="F96" s="24"/>
      <c r="G96" s="24"/>
      <c r="H96" s="24"/>
      <c r="I96" s="24"/>
      <c r="J96" s="24"/>
      <c r="K96" s="162"/>
      <c r="L96" s="162"/>
      <c r="M96" s="24"/>
      <c r="N96" s="22"/>
      <c r="O96" s="107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0.25" customHeight="1">
      <c r="A97" s="22"/>
      <c r="B97" s="24"/>
      <c r="C97" s="30"/>
      <c r="D97" s="24"/>
      <c r="E97" s="24"/>
      <c r="F97" s="24"/>
      <c r="G97" s="24"/>
      <c r="H97" s="24"/>
      <c r="I97" s="24"/>
      <c r="J97" s="24"/>
      <c r="K97" s="162"/>
      <c r="L97" s="162"/>
      <c r="M97" s="24"/>
      <c r="N97" s="22"/>
      <c r="O97" s="107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0.25" customHeight="1">
      <c r="A98" s="22"/>
      <c r="B98" s="24"/>
      <c r="C98" s="30"/>
      <c r="D98" s="24"/>
      <c r="E98" s="24"/>
      <c r="F98" s="24"/>
      <c r="G98" s="24"/>
      <c r="H98" s="24"/>
      <c r="I98" s="24"/>
      <c r="J98" s="24"/>
      <c r="K98" s="162"/>
      <c r="L98" s="162"/>
      <c r="M98" s="24"/>
      <c r="N98" s="22"/>
      <c r="O98" s="107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20.25" customHeight="1">
      <c r="A99" s="22"/>
      <c r="B99" s="24"/>
      <c r="C99" s="30"/>
      <c r="D99" s="24"/>
      <c r="E99" s="24"/>
      <c r="F99" s="24"/>
      <c r="G99" s="24"/>
      <c r="H99" s="24"/>
      <c r="I99" s="24"/>
      <c r="J99" s="24"/>
      <c r="K99" s="162"/>
      <c r="L99" s="162"/>
      <c r="M99" s="24"/>
      <c r="N99" s="22"/>
      <c r="O99" s="107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20.25" customHeight="1">
      <c r="A100" s="22"/>
      <c r="B100" s="24"/>
      <c r="C100" s="30"/>
      <c r="D100" s="24"/>
      <c r="E100" s="24"/>
      <c r="F100" s="24"/>
      <c r="G100" s="24"/>
      <c r="H100" s="24"/>
      <c r="I100" s="24"/>
      <c r="J100" s="24"/>
      <c r="K100" s="162"/>
      <c r="L100" s="162"/>
      <c r="M100" s="24"/>
      <c r="N100" s="22"/>
      <c r="O100" s="107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20.25" customHeight="1">
      <c r="A101" s="22"/>
      <c r="B101" s="24"/>
      <c r="C101" s="30"/>
      <c r="D101" s="24"/>
      <c r="E101" s="24"/>
      <c r="F101" s="24"/>
      <c r="G101" s="24"/>
      <c r="H101" s="24"/>
      <c r="I101" s="24"/>
      <c r="J101" s="24"/>
      <c r="K101" s="162"/>
      <c r="L101" s="162"/>
      <c r="M101" s="24"/>
      <c r="N101" s="22"/>
      <c r="O101" s="107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20.25" customHeight="1">
      <c r="A102" s="22"/>
      <c r="B102" s="24"/>
      <c r="C102" s="30"/>
      <c r="D102" s="24"/>
      <c r="E102" s="24"/>
      <c r="F102" s="24"/>
      <c r="G102" s="24"/>
      <c r="H102" s="24"/>
      <c r="I102" s="24"/>
      <c r="J102" s="24"/>
      <c r="K102" s="162"/>
      <c r="L102" s="162"/>
      <c r="M102" s="24"/>
      <c r="N102" s="22"/>
      <c r="O102" s="107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20.25" customHeight="1">
      <c r="A103" s="22"/>
      <c r="B103" s="24"/>
      <c r="C103" s="30"/>
      <c r="D103" s="24"/>
      <c r="E103" s="24"/>
      <c r="F103" s="24"/>
      <c r="G103" s="24"/>
      <c r="H103" s="24"/>
      <c r="I103" s="24"/>
      <c r="J103" s="24"/>
      <c r="K103" s="162"/>
      <c r="L103" s="162"/>
      <c r="M103" s="24"/>
      <c r="N103" s="22"/>
      <c r="O103" s="107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20.25" customHeight="1">
      <c r="A104" s="22"/>
      <c r="B104" s="24"/>
      <c r="C104" s="30"/>
      <c r="D104" s="24"/>
      <c r="E104" s="24"/>
      <c r="F104" s="24"/>
      <c r="G104" s="24"/>
      <c r="H104" s="24"/>
      <c r="I104" s="24"/>
      <c r="J104" s="24"/>
      <c r="K104" s="162"/>
      <c r="L104" s="162"/>
      <c r="M104" s="24"/>
      <c r="N104" s="22"/>
      <c r="O104" s="107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20.25" customHeight="1">
      <c r="A105" s="22"/>
      <c r="B105" s="24"/>
      <c r="C105" s="30"/>
      <c r="D105" s="24"/>
      <c r="E105" s="24"/>
      <c r="F105" s="24"/>
      <c r="G105" s="24"/>
      <c r="H105" s="24"/>
      <c r="I105" s="24"/>
      <c r="J105" s="24"/>
      <c r="K105" s="162"/>
      <c r="L105" s="162"/>
      <c r="M105" s="24"/>
      <c r="N105" s="22"/>
      <c r="O105" s="107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0.25" customHeight="1">
      <c r="A106" s="22"/>
      <c r="B106" s="24"/>
      <c r="C106" s="30"/>
      <c r="D106" s="24"/>
      <c r="E106" s="24"/>
      <c r="F106" s="24"/>
      <c r="G106" s="24"/>
      <c r="H106" s="24"/>
      <c r="I106" s="24"/>
      <c r="J106" s="24"/>
      <c r="K106" s="162"/>
      <c r="L106" s="162"/>
      <c r="M106" s="24"/>
      <c r="N106" s="22"/>
      <c r="O106" s="107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20.25" customHeight="1">
      <c r="A107" s="22"/>
      <c r="B107" s="24"/>
      <c r="C107" s="30"/>
      <c r="D107" s="24"/>
      <c r="E107" s="24"/>
      <c r="F107" s="24"/>
      <c r="G107" s="24"/>
      <c r="H107" s="24"/>
      <c r="I107" s="24"/>
      <c r="J107" s="24"/>
      <c r="K107" s="162"/>
      <c r="L107" s="162"/>
      <c r="M107" s="24"/>
      <c r="N107" s="22"/>
      <c r="O107" s="107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20.25" customHeight="1">
      <c r="A108" s="22"/>
      <c r="B108" s="24"/>
      <c r="C108" s="30"/>
      <c r="D108" s="24"/>
      <c r="E108" s="24"/>
      <c r="F108" s="24"/>
      <c r="G108" s="24"/>
      <c r="H108" s="24"/>
      <c r="I108" s="24"/>
      <c r="J108" s="24"/>
      <c r="K108" s="162"/>
      <c r="L108" s="162"/>
      <c r="M108" s="24"/>
      <c r="N108" s="22"/>
      <c r="O108" s="107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20.25" customHeight="1">
      <c r="A109" s="22"/>
      <c r="B109" s="24"/>
      <c r="C109" s="30"/>
      <c r="D109" s="24"/>
      <c r="E109" s="24"/>
      <c r="F109" s="24"/>
      <c r="G109" s="24"/>
      <c r="H109" s="24"/>
      <c r="I109" s="24"/>
      <c r="J109" s="24"/>
      <c r="K109" s="162"/>
      <c r="L109" s="162"/>
      <c r="M109" s="24"/>
      <c r="N109" s="22"/>
      <c r="O109" s="107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20.25" customHeight="1">
      <c r="A110" s="22"/>
      <c r="B110" s="24"/>
      <c r="C110" s="30"/>
      <c r="D110" s="24"/>
      <c r="E110" s="24"/>
      <c r="F110" s="24"/>
      <c r="G110" s="24"/>
      <c r="H110" s="24"/>
      <c r="I110" s="24"/>
      <c r="J110" s="24"/>
      <c r="K110" s="162"/>
      <c r="L110" s="162"/>
      <c r="M110" s="24"/>
      <c r="N110" s="22"/>
      <c r="O110" s="107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20.25" customHeight="1">
      <c r="A111" s="22"/>
      <c r="B111" s="24"/>
      <c r="C111" s="30"/>
      <c r="D111" s="24"/>
      <c r="E111" s="24"/>
      <c r="F111" s="24"/>
      <c r="G111" s="24"/>
      <c r="H111" s="24"/>
      <c r="I111" s="24"/>
      <c r="J111" s="24"/>
      <c r="K111" s="162"/>
      <c r="L111" s="162"/>
      <c r="M111" s="24"/>
      <c r="N111" s="22"/>
      <c r="O111" s="107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20.25" customHeight="1">
      <c r="A112" s="22"/>
      <c r="B112" s="24"/>
      <c r="C112" s="30"/>
      <c r="D112" s="24"/>
      <c r="E112" s="24"/>
      <c r="F112" s="24"/>
      <c r="G112" s="24"/>
      <c r="H112" s="24"/>
      <c r="I112" s="24"/>
      <c r="J112" s="24"/>
      <c r="K112" s="162"/>
      <c r="L112" s="162"/>
      <c r="M112" s="24"/>
      <c r="N112" s="22"/>
      <c r="O112" s="107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20.25" customHeight="1">
      <c r="A113" s="22"/>
      <c r="B113" s="24"/>
      <c r="C113" s="30"/>
      <c r="D113" s="24"/>
      <c r="E113" s="24"/>
      <c r="F113" s="24"/>
      <c r="G113" s="24"/>
      <c r="H113" s="24"/>
      <c r="I113" s="24"/>
      <c r="J113" s="24"/>
      <c r="K113" s="162"/>
      <c r="L113" s="162"/>
      <c r="M113" s="24"/>
      <c r="N113" s="22"/>
      <c r="O113" s="107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20.25" customHeight="1">
      <c r="A114" s="22"/>
      <c r="B114" s="24"/>
      <c r="C114" s="30"/>
      <c r="D114" s="24"/>
      <c r="E114" s="24"/>
      <c r="F114" s="24"/>
      <c r="G114" s="24"/>
      <c r="H114" s="24"/>
      <c r="I114" s="24"/>
      <c r="J114" s="24"/>
      <c r="K114" s="162"/>
      <c r="L114" s="162"/>
      <c r="M114" s="24"/>
      <c r="N114" s="22"/>
      <c r="O114" s="107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20.25" customHeight="1">
      <c r="A115" s="22"/>
      <c r="B115" s="24"/>
      <c r="C115" s="30"/>
      <c r="D115" s="24"/>
      <c r="E115" s="24"/>
      <c r="F115" s="24"/>
      <c r="G115" s="24"/>
      <c r="H115" s="24"/>
      <c r="I115" s="24"/>
      <c r="J115" s="24"/>
      <c r="K115" s="162"/>
      <c r="L115" s="162"/>
      <c r="M115" s="24"/>
      <c r="N115" s="22"/>
      <c r="O115" s="107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20.25" customHeight="1">
      <c r="A116" s="22"/>
      <c r="B116" s="24"/>
      <c r="C116" s="30"/>
      <c r="D116" s="24"/>
      <c r="E116" s="24"/>
      <c r="F116" s="24"/>
      <c r="G116" s="24"/>
      <c r="H116" s="24"/>
      <c r="I116" s="24"/>
      <c r="J116" s="24"/>
      <c r="K116" s="162"/>
      <c r="L116" s="162"/>
      <c r="M116" s="24"/>
      <c r="N116" s="22"/>
      <c r="O116" s="107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20.25" customHeight="1">
      <c r="A117" s="22"/>
      <c r="B117" s="24"/>
      <c r="C117" s="30"/>
      <c r="D117" s="24"/>
      <c r="E117" s="24"/>
      <c r="F117" s="24"/>
      <c r="G117" s="24"/>
      <c r="H117" s="24"/>
      <c r="I117" s="24"/>
      <c r="J117" s="24"/>
      <c r="K117" s="162"/>
      <c r="L117" s="162"/>
      <c r="M117" s="24"/>
      <c r="N117" s="22"/>
      <c r="O117" s="107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20.25" customHeight="1">
      <c r="A118" s="22"/>
      <c r="B118" s="24"/>
      <c r="C118" s="30"/>
      <c r="D118" s="24"/>
      <c r="E118" s="24"/>
      <c r="F118" s="24"/>
      <c r="G118" s="24"/>
      <c r="H118" s="24"/>
      <c r="I118" s="24"/>
      <c r="J118" s="24"/>
      <c r="K118" s="162"/>
      <c r="L118" s="162"/>
      <c r="M118" s="24"/>
      <c r="N118" s="22"/>
      <c r="O118" s="107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20.25" customHeight="1">
      <c r="A119" s="22"/>
      <c r="B119" s="24"/>
      <c r="C119" s="30"/>
      <c r="D119" s="24"/>
      <c r="E119" s="24"/>
      <c r="F119" s="24"/>
      <c r="G119" s="24"/>
      <c r="H119" s="24"/>
      <c r="I119" s="24"/>
      <c r="J119" s="24"/>
      <c r="K119" s="162"/>
      <c r="L119" s="162"/>
      <c r="M119" s="24"/>
      <c r="N119" s="22"/>
      <c r="O119" s="107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20.25" customHeight="1">
      <c r="A120" s="22"/>
      <c r="B120" s="24"/>
      <c r="C120" s="30"/>
      <c r="D120" s="24"/>
      <c r="E120" s="24"/>
      <c r="F120" s="24"/>
      <c r="G120" s="24"/>
      <c r="H120" s="24"/>
      <c r="I120" s="24"/>
      <c r="J120" s="24"/>
      <c r="K120" s="162"/>
      <c r="L120" s="162"/>
      <c r="M120" s="24"/>
      <c r="N120" s="22"/>
      <c r="O120" s="107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20.25" customHeight="1">
      <c r="A121" s="22"/>
      <c r="B121" s="24"/>
      <c r="C121" s="30"/>
      <c r="D121" s="24"/>
      <c r="E121" s="24"/>
      <c r="F121" s="24"/>
      <c r="G121" s="24"/>
      <c r="H121" s="24"/>
      <c r="I121" s="24"/>
      <c r="J121" s="24"/>
      <c r="K121" s="162"/>
      <c r="L121" s="162"/>
      <c r="M121" s="24"/>
      <c r="N121" s="22"/>
      <c r="O121" s="107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20.25" customHeight="1">
      <c r="A122" s="22"/>
      <c r="B122" s="24"/>
      <c r="C122" s="30"/>
      <c r="D122" s="24"/>
      <c r="E122" s="24"/>
      <c r="F122" s="24"/>
      <c r="G122" s="24"/>
      <c r="H122" s="24"/>
      <c r="I122" s="24"/>
      <c r="J122" s="24"/>
      <c r="K122" s="162"/>
      <c r="L122" s="162"/>
      <c r="M122" s="24"/>
      <c r="N122" s="22"/>
      <c r="O122" s="107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20.25" customHeight="1">
      <c r="A123" s="22"/>
      <c r="B123" s="24"/>
      <c r="C123" s="30"/>
      <c r="D123" s="24"/>
      <c r="E123" s="24"/>
      <c r="F123" s="24"/>
      <c r="G123" s="24"/>
      <c r="H123" s="24"/>
      <c r="I123" s="24"/>
      <c r="J123" s="24"/>
      <c r="K123" s="162"/>
      <c r="L123" s="162"/>
      <c r="M123" s="24"/>
      <c r="N123" s="22"/>
      <c r="O123" s="107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20.25" customHeight="1">
      <c r="A124" s="22"/>
      <c r="B124" s="24"/>
      <c r="C124" s="30"/>
      <c r="D124" s="24"/>
      <c r="E124" s="24"/>
      <c r="F124" s="24"/>
      <c r="G124" s="24"/>
      <c r="H124" s="24"/>
      <c r="I124" s="24"/>
      <c r="J124" s="24"/>
      <c r="K124" s="162"/>
      <c r="L124" s="162"/>
      <c r="M124" s="24"/>
      <c r="N124" s="22"/>
      <c r="O124" s="107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20.25" customHeight="1">
      <c r="A125" s="22"/>
      <c r="B125" s="24"/>
      <c r="C125" s="30"/>
      <c r="D125" s="24"/>
      <c r="E125" s="24"/>
      <c r="F125" s="24"/>
      <c r="G125" s="24"/>
      <c r="H125" s="24"/>
      <c r="I125" s="24"/>
      <c r="J125" s="24"/>
      <c r="K125" s="162"/>
      <c r="L125" s="162"/>
      <c r="M125" s="24"/>
      <c r="N125" s="22"/>
      <c r="O125" s="107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20.25" customHeight="1">
      <c r="A126" s="22"/>
      <c r="B126" s="24"/>
      <c r="C126" s="30"/>
      <c r="D126" s="24"/>
      <c r="E126" s="24"/>
      <c r="F126" s="24"/>
      <c r="G126" s="24"/>
      <c r="H126" s="24"/>
      <c r="I126" s="24"/>
      <c r="J126" s="24"/>
      <c r="K126" s="162"/>
      <c r="L126" s="162"/>
      <c r="M126" s="24"/>
      <c r="N126" s="22"/>
      <c r="O126" s="107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20.25" customHeight="1">
      <c r="A127" s="22"/>
      <c r="B127" s="24"/>
      <c r="C127" s="30"/>
      <c r="D127" s="24"/>
      <c r="E127" s="24"/>
      <c r="F127" s="24"/>
      <c r="G127" s="24"/>
      <c r="H127" s="24"/>
      <c r="I127" s="24"/>
      <c r="J127" s="24"/>
      <c r="K127" s="162"/>
      <c r="L127" s="162"/>
      <c r="M127" s="24"/>
      <c r="N127" s="22"/>
      <c r="O127" s="107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20.25" customHeight="1">
      <c r="A128" s="22"/>
      <c r="B128" s="24"/>
      <c r="C128" s="30"/>
      <c r="D128" s="24"/>
      <c r="E128" s="24"/>
      <c r="F128" s="24"/>
      <c r="G128" s="24"/>
      <c r="H128" s="24"/>
      <c r="I128" s="24"/>
      <c r="J128" s="24"/>
      <c r="K128" s="162"/>
      <c r="L128" s="162"/>
      <c r="M128" s="24"/>
      <c r="N128" s="22"/>
      <c r="O128" s="107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20.25" customHeight="1">
      <c r="A129" s="22"/>
      <c r="B129" s="24"/>
      <c r="C129" s="30"/>
      <c r="D129" s="24"/>
      <c r="E129" s="24"/>
      <c r="F129" s="24"/>
      <c r="G129" s="24"/>
      <c r="H129" s="24"/>
      <c r="I129" s="24"/>
      <c r="J129" s="24"/>
      <c r="K129" s="162"/>
      <c r="L129" s="162"/>
      <c r="M129" s="24"/>
      <c r="N129" s="22"/>
      <c r="O129" s="107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20.25" customHeight="1">
      <c r="A130" s="22"/>
      <c r="B130" s="24"/>
      <c r="C130" s="30"/>
      <c r="D130" s="24"/>
      <c r="E130" s="24"/>
      <c r="F130" s="24"/>
      <c r="G130" s="24"/>
      <c r="H130" s="24"/>
      <c r="I130" s="24"/>
      <c r="J130" s="24"/>
      <c r="K130" s="162"/>
      <c r="L130" s="162"/>
      <c r="M130" s="24"/>
      <c r="N130" s="22"/>
      <c r="O130" s="107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20.25" customHeight="1">
      <c r="A131" s="22"/>
      <c r="B131" s="24"/>
      <c r="C131" s="30"/>
      <c r="D131" s="24"/>
      <c r="E131" s="24"/>
      <c r="F131" s="24"/>
      <c r="G131" s="24"/>
      <c r="H131" s="24"/>
      <c r="I131" s="24"/>
      <c r="J131" s="24"/>
      <c r="K131" s="162"/>
      <c r="L131" s="162"/>
      <c r="M131" s="24"/>
      <c r="N131" s="22"/>
      <c r="O131" s="107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20.25" customHeight="1">
      <c r="A132" s="22"/>
      <c r="B132" s="24"/>
      <c r="C132" s="30"/>
      <c r="D132" s="24"/>
      <c r="E132" s="24"/>
      <c r="F132" s="24"/>
      <c r="G132" s="24"/>
      <c r="H132" s="24"/>
      <c r="I132" s="24"/>
      <c r="J132" s="24"/>
      <c r="K132" s="162"/>
      <c r="L132" s="162"/>
      <c r="M132" s="24"/>
      <c r="N132" s="22"/>
      <c r="O132" s="107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20.25" customHeight="1">
      <c r="A133" s="22"/>
      <c r="B133" s="24"/>
      <c r="C133" s="30"/>
      <c r="D133" s="24"/>
      <c r="E133" s="24"/>
      <c r="F133" s="24"/>
      <c r="G133" s="24"/>
      <c r="H133" s="24"/>
      <c r="I133" s="24"/>
      <c r="J133" s="24"/>
      <c r="K133" s="162"/>
      <c r="L133" s="162"/>
      <c r="M133" s="24"/>
      <c r="N133" s="22"/>
      <c r="O133" s="107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20.25" customHeight="1">
      <c r="A134" s="22"/>
      <c r="B134" s="24"/>
      <c r="C134" s="30"/>
      <c r="D134" s="24"/>
      <c r="E134" s="24"/>
      <c r="F134" s="24"/>
      <c r="G134" s="24"/>
      <c r="H134" s="24"/>
      <c r="I134" s="24"/>
      <c r="J134" s="24"/>
      <c r="K134" s="162"/>
      <c r="L134" s="162"/>
      <c r="M134" s="24"/>
      <c r="N134" s="22"/>
      <c r="O134" s="107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20.25" customHeight="1">
      <c r="A135" s="22"/>
      <c r="B135" s="24"/>
      <c r="C135" s="30"/>
      <c r="D135" s="24"/>
      <c r="E135" s="24"/>
      <c r="F135" s="24"/>
      <c r="G135" s="24"/>
      <c r="H135" s="24"/>
      <c r="I135" s="24"/>
      <c r="J135" s="24"/>
      <c r="K135" s="162"/>
      <c r="L135" s="162"/>
      <c r="M135" s="24"/>
      <c r="N135" s="22"/>
      <c r="O135" s="107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20.25" customHeight="1">
      <c r="A136" s="22"/>
      <c r="B136" s="24"/>
      <c r="C136" s="30"/>
      <c r="D136" s="24"/>
      <c r="E136" s="24"/>
      <c r="F136" s="24"/>
      <c r="G136" s="24"/>
      <c r="H136" s="24"/>
      <c r="I136" s="24"/>
      <c r="J136" s="24"/>
      <c r="K136" s="162"/>
      <c r="L136" s="162"/>
      <c r="M136" s="24"/>
      <c r="N136" s="22"/>
      <c r="O136" s="107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20.25" customHeight="1">
      <c r="A137" s="22"/>
      <c r="B137" s="24"/>
      <c r="C137" s="30"/>
      <c r="D137" s="24"/>
      <c r="E137" s="24"/>
      <c r="F137" s="24"/>
      <c r="G137" s="24"/>
      <c r="H137" s="24"/>
      <c r="I137" s="24"/>
      <c r="J137" s="24"/>
      <c r="K137" s="162"/>
      <c r="L137" s="162"/>
      <c r="M137" s="24"/>
      <c r="N137" s="22"/>
      <c r="O137" s="107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20.25" customHeight="1">
      <c r="A138" s="22"/>
      <c r="B138" s="24"/>
      <c r="C138" s="30"/>
      <c r="D138" s="24"/>
      <c r="E138" s="24"/>
      <c r="F138" s="24"/>
      <c r="G138" s="24"/>
      <c r="H138" s="24"/>
      <c r="I138" s="24"/>
      <c r="J138" s="24"/>
      <c r="K138" s="162"/>
      <c r="L138" s="162"/>
      <c r="M138" s="24"/>
      <c r="N138" s="22"/>
      <c r="O138" s="107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20.25" customHeight="1">
      <c r="A139" s="22"/>
      <c r="B139" s="24"/>
      <c r="C139" s="30"/>
      <c r="D139" s="24"/>
      <c r="E139" s="24"/>
      <c r="F139" s="24"/>
      <c r="G139" s="24"/>
      <c r="H139" s="24"/>
      <c r="I139" s="24"/>
      <c r="J139" s="24"/>
      <c r="K139" s="162"/>
      <c r="L139" s="162"/>
      <c r="M139" s="24"/>
      <c r="N139" s="22"/>
      <c r="O139" s="107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20.25" customHeight="1">
      <c r="A140" s="22"/>
      <c r="B140" s="24"/>
      <c r="C140" s="30"/>
      <c r="D140" s="24"/>
      <c r="E140" s="24"/>
      <c r="F140" s="24"/>
      <c r="G140" s="24"/>
      <c r="H140" s="24"/>
      <c r="I140" s="24"/>
      <c r="J140" s="24"/>
      <c r="K140" s="162"/>
      <c r="L140" s="162"/>
      <c r="M140" s="24"/>
      <c r="N140" s="22"/>
      <c r="O140" s="107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20.25" customHeight="1">
      <c r="A141" s="22"/>
      <c r="B141" s="24"/>
      <c r="C141" s="30"/>
      <c r="D141" s="24"/>
      <c r="E141" s="24"/>
      <c r="F141" s="24"/>
      <c r="G141" s="24"/>
      <c r="H141" s="24"/>
      <c r="I141" s="24"/>
      <c r="J141" s="24"/>
      <c r="K141" s="162"/>
      <c r="L141" s="162"/>
      <c r="M141" s="24"/>
      <c r="N141" s="22"/>
      <c r="O141" s="107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20.25" customHeight="1">
      <c r="A142" s="22"/>
      <c r="B142" s="24"/>
      <c r="C142" s="30"/>
      <c r="D142" s="24"/>
      <c r="E142" s="24"/>
      <c r="F142" s="24"/>
      <c r="G142" s="24"/>
      <c r="H142" s="24"/>
      <c r="I142" s="24"/>
      <c r="J142" s="24"/>
      <c r="K142" s="162"/>
      <c r="L142" s="162"/>
      <c r="M142" s="24"/>
      <c r="N142" s="22"/>
      <c r="O142" s="107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20.25" customHeight="1">
      <c r="A143" s="22"/>
      <c r="B143" s="24"/>
      <c r="C143" s="30"/>
      <c r="D143" s="24"/>
      <c r="E143" s="24"/>
      <c r="F143" s="24"/>
      <c r="G143" s="24"/>
      <c r="H143" s="24"/>
      <c r="I143" s="24"/>
      <c r="J143" s="24"/>
      <c r="K143" s="162"/>
      <c r="L143" s="162"/>
      <c r="M143" s="24"/>
      <c r="N143" s="22"/>
      <c r="O143" s="107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20.25" customHeight="1">
      <c r="A144" s="22"/>
      <c r="B144" s="24"/>
      <c r="C144" s="30"/>
      <c r="D144" s="24"/>
      <c r="E144" s="24"/>
      <c r="F144" s="24"/>
      <c r="G144" s="24"/>
      <c r="H144" s="24"/>
      <c r="I144" s="24"/>
      <c r="J144" s="24"/>
      <c r="K144" s="162"/>
      <c r="L144" s="162"/>
      <c r="M144" s="24"/>
      <c r="N144" s="22"/>
      <c r="O144" s="107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20.25" customHeight="1">
      <c r="A145" s="22"/>
      <c r="B145" s="24"/>
      <c r="C145" s="30"/>
      <c r="D145" s="24"/>
      <c r="E145" s="24"/>
      <c r="F145" s="24"/>
      <c r="G145" s="24"/>
      <c r="H145" s="24"/>
      <c r="I145" s="24"/>
      <c r="J145" s="24"/>
      <c r="K145" s="162"/>
      <c r="L145" s="162"/>
      <c r="M145" s="24"/>
      <c r="N145" s="22"/>
      <c r="O145" s="107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20.25" customHeight="1">
      <c r="A146" s="22"/>
      <c r="B146" s="24"/>
      <c r="C146" s="30"/>
      <c r="D146" s="24"/>
      <c r="E146" s="24"/>
      <c r="F146" s="24"/>
      <c r="G146" s="24"/>
      <c r="H146" s="24"/>
      <c r="I146" s="24"/>
      <c r="J146" s="24"/>
      <c r="K146" s="162"/>
      <c r="L146" s="162"/>
      <c r="M146" s="24"/>
      <c r="N146" s="22"/>
      <c r="O146" s="107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20.25" customHeight="1">
      <c r="A147" s="22"/>
      <c r="B147" s="24"/>
      <c r="C147" s="30"/>
      <c r="D147" s="24"/>
      <c r="E147" s="24"/>
      <c r="F147" s="24"/>
      <c r="G147" s="24"/>
      <c r="H147" s="24"/>
      <c r="I147" s="24"/>
      <c r="J147" s="24"/>
      <c r="K147" s="162"/>
      <c r="L147" s="162"/>
      <c r="M147" s="24"/>
      <c r="N147" s="22"/>
      <c r="O147" s="107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0.25" customHeight="1">
      <c r="A148" s="22"/>
      <c r="B148" s="24"/>
      <c r="C148" s="30"/>
      <c r="D148" s="24"/>
      <c r="E148" s="24"/>
      <c r="F148" s="24"/>
      <c r="G148" s="24"/>
      <c r="H148" s="24"/>
      <c r="I148" s="24"/>
      <c r="J148" s="24"/>
      <c r="K148" s="162"/>
      <c r="L148" s="162"/>
      <c r="M148" s="24"/>
      <c r="N148" s="22"/>
      <c r="O148" s="107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20.25" customHeight="1">
      <c r="A149" s="22"/>
      <c r="B149" s="24"/>
      <c r="C149" s="30"/>
      <c r="D149" s="24"/>
      <c r="E149" s="24"/>
      <c r="F149" s="24"/>
      <c r="G149" s="24"/>
      <c r="H149" s="24"/>
      <c r="I149" s="24"/>
      <c r="J149" s="24"/>
      <c r="K149" s="162"/>
      <c r="L149" s="162"/>
      <c r="M149" s="24"/>
      <c r="N149" s="22"/>
      <c r="O149" s="107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20.25" customHeight="1">
      <c r="A150" s="22"/>
      <c r="B150" s="24"/>
      <c r="C150" s="30"/>
      <c r="D150" s="24"/>
      <c r="E150" s="24"/>
      <c r="F150" s="24"/>
      <c r="G150" s="24"/>
      <c r="H150" s="24"/>
      <c r="I150" s="24"/>
      <c r="J150" s="24"/>
      <c r="K150" s="162"/>
      <c r="L150" s="162"/>
      <c r="M150" s="24"/>
      <c r="N150" s="22"/>
      <c r="O150" s="107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20.25" customHeight="1">
      <c r="A151" s="22"/>
      <c r="B151" s="24"/>
      <c r="C151" s="30"/>
      <c r="D151" s="24"/>
      <c r="E151" s="24"/>
      <c r="F151" s="24"/>
      <c r="G151" s="24"/>
      <c r="H151" s="24"/>
      <c r="I151" s="24"/>
      <c r="J151" s="24"/>
      <c r="K151" s="162"/>
      <c r="L151" s="162"/>
      <c r="M151" s="24"/>
      <c r="N151" s="22"/>
      <c r="O151" s="107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20.25" customHeight="1">
      <c r="A152" s="22"/>
      <c r="B152" s="24"/>
      <c r="C152" s="30"/>
      <c r="D152" s="24"/>
      <c r="E152" s="24"/>
      <c r="F152" s="24"/>
      <c r="G152" s="24"/>
      <c r="H152" s="24"/>
      <c r="I152" s="24"/>
      <c r="J152" s="24"/>
      <c r="K152" s="162"/>
      <c r="L152" s="162"/>
      <c r="M152" s="24"/>
      <c r="N152" s="22"/>
      <c r="O152" s="107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20.25" customHeight="1">
      <c r="A153" s="22"/>
      <c r="B153" s="24"/>
      <c r="C153" s="30"/>
      <c r="D153" s="24"/>
      <c r="E153" s="24"/>
      <c r="F153" s="24"/>
      <c r="G153" s="24"/>
      <c r="H153" s="24"/>
      <c r="I153" s="24"/>
      <c r="J153" s="24"/>
      <c r="K153" s="162"/>
      <c r="L153" s="162"/>
      <c r="M153" s="24"/>
      <c r="N153" s="22"/>
      <c r="O153" s="107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20.25" customHeight="1">
      <c r="A154" s="22"/>
      <c r="B154" s="24"/>
      <c r="C154" s="30"/>
      <c r="D154" s="24"/>
      <c r="E154" s="24"/>
      <c r="F154" s="24"/>
      <c r="G154" s="24"/>
      <c r="H154" s="24"/>
      <c r="I154" s="24"/>
      <c r="J154" s="24"/>
      <c r="K154" s="162"/>
      <c r="L154" s="162"/>
      <c r="M154" s="24"/>
      <c r="N154" s="22"/>
      <c r="O154" s="107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20.25" customHeight="1">
      <c r="A155" s="22"/>
      <c r="B155" s="24"/>
      <c r="C155" s="30"/>
      <c r="D155" s="24"/>
      <c r="E155" s="24"/>
      <c r="F155" s="24"/>
      <c r="G155" s="24"/>
      <c r="H155" s="24"/>
      <c r="I155" s="24"/>
      <c r="J155" s="24"/>
      <c r="K155" s="162"/>
      <c r="L155" s="162"/>
      <c r="M155" s="24"/>
      <c r="N155" s="22"/>
      <c r="O155" s="107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20.25" customHeight="1">
      <c r="A156" s="22"/>
      <c r="B156" s="24"/>
      <c r="C156" s="30"/>
      <c r="D156" s="24"/>
      <c r="E156" s="24"/>
      <c r="F156" s="24"/>
      <c r="G156" s="24"/>
      <c r="H156" s="24"/>
      <c r="I156" s="24"/>
      <c r="J156" s="24"/>
      <c r="K156" s="162"/>
      <c r="L156" s="162"/>
      <c r="M156" s="24"/>
      <c r="N156" s="22"/>
      <c r="O156" s="107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20.25" customHeight="1">
      <c r="A157" s="22"/>
      <c r="B157" s="24"/>
      <c r="C157" s="30"/>
      <c r="D157" s="24"/>
      <c r="E157" s="24"/>
      <c r="F157" s="24"/>
      <c r="G157" s="24"/>
      <c r="H157" s="24"/>
      <c r="I157" s="24"/>
      <c r="J157" s="24"/>
      <c r="K157" s="162"/>
      <c r="L157" s="162"/>
      <c r="M157" s="24"/>
      <c r="N157" s="22"/>
      <c r="O157" s="107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20.25" customHeight="1">
      <c r="A158" s="22"/>
      <c r="B158" s="24"/>
      <c r="C158" s="30"/>
      <c r="D158" s="24"/>
      <c r="E158" s="24"/>
      <c r="F158" s="24"/>
      <c r="G158" s="24"/>
      <c r="H158" s="24"/>
      <c r="I158" s="24"/>
      <c r="J158" s="24"/>
      <c r="K158" s="162"/>
      <c r="L158" s="162"/>
      <c r="M158" s="24"/>
      <c r="N158" s="22"/>
      <c r="O158" s="107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20.25" customHeight="1">
      <c r="A159" s="22"/>
      <c r="B159" s="24"/>
      <c r="C159" s="30"/>
      <c r="D159" s="24"/>
      <c r="E159" s="24"/>
      <c r="F159" s="24"/>
      <c r="G159" s="24"/>
      <c r="H159" s="24"/>
      <c r="I159" s="24"/>
      <c r="J159" s="24"/>
      <c r="K159" s="162"/>
      <c r="L159" s="162"/>
      <c r="M159" s="24"/>
      <c r="N159" s="22"/>
      <c r="O159" s="107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20.25" customHeight="1">
      <c r="A160" s="22"/>
      <c r="B160" s="24"/>
      <c r="C160" s="30"/>
      <c r="D160" s="24"/>
      <c r="E160" s="24"/>
      <c r="F160" s="24"/>
      <c r="G160" s="24"/>
      <c r="H160" s="24"/>
      <c r="I160" s="24"/>
      <c r="J160" s="24"/>
      <c r="K160" s="162"/>
      <c r="L160" s="162"/>
      <c r="M160" s="24"/>
      <c r="N160" s="22"/>
      <c r="O160" s="107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20.25" customHeight="1">
      <c r="A161" s="22"/>
      <c r="B161" s="24"/>
      <c r="C161" s="30"/>
      <c r="D161" s="24"/>
      <c r="E161" s="24"/>
      <c r="F161" s="24"/>
      <c r="G161" s="24"/>
      <c r="H161" s="24"/>
      <c r="I161" s="24"/>
      <c r="J161" s="24"/>
      <c r="K161" s="162"/>
      <c r="L161" s="162"/>
      <c r="M161" s="24"/>
      <c r="N161" s="22"/>
      <c r="O161" s="107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20.25" customHeight="1">
      <c r="A162" s="22"/>
      <c r="B162" s="24"/>
      <c r="C162" s="30"/>
      <c r="D162" s="24"/>
      <c r="E162" s="24"/>
      <c r="F162" s="24"/>
      <c r="G162" s="24"/>
      <c r="H162" s="24"/>
      <c r="I162" s="24"/>
      <c r="J162" s="24"/>
      <c r="K162" s="162"/>
      <c r="L162" s="162"/>
      <c r="M162" s="24"/>
      <c r="N162" s="22"/>
      <c r="O162" s="107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20.25" customHeight="1">
      <c r="A163" s="22"/>
      <c r="B163" s="24"/>
      <c r="C163" s="30"/>
      <c r="D163" s="24"/>
      <c r="E163" s="24"/>
      <c r="F163" s="24"/>
      <c r="G163" s="24"/>
      <c r="H163" s="24"/>
      <c r="I163" s="24"/>
      <c r="J163" s="24"/>
      <c r="K163" s="162"/>
      <c r="L163" s="162"/>
      <c r="M163" s="24"/>
      <c r="N163" s="22"/>
      <c r="O163" s="107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20.25" customHeight="1">
      <c r="A164" s="22"/>
      <c r="B164" s="24"/>
      <c r="C164" s="30"/>
      <c r="D164" s="24"/>
      <c r="E164" s="24"/>
      <c r="F164" s="24"/>
      <c r="G164" s="24"/>
      <c r="H164" s="24"/>
      <c r="I164" s="24"/>
      <c r="J164" s="24"/>
      <c r="K164" s="162"/>
      <c r="L164" s="162"/>
      <c r="M164" s="24"/>
      <c r="N164" s="22"/>
      <c r="O164" s="107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20.25" customHeight="1">
      <c r="A165" s="22"/>
      <c r="B165" s="24"/>
      <c r="C165" s="30"/>
      <c r="D165" s="24"/>
      <c r="E165" s="24"/>
      <c r="F165" s="24"/>
      <c r="G165" s="24"/>
      <c r="H165" s="24"/>
      <c r="I165" s="24"/>
      <c r="J165" s="24"/>
      <c r="K165" s="162"/>
      <c r="L165" s="162"/>
      <c r="M165" s="24"/>
      <c r="N165" s="22"/>
      <c r="O165" s="107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20.25" customHeight="1">
      <c r="A166" s="22"/>
      <c r="B166" s="24"/>
      <c r="C166" s="30"/>
      <c r="D166" s="24"/>
      <c r="E166" s="24"/>
      <c r="F166" s="24"/>
      <c r="G166" s="24"/>
      <c r="H166" s="24"/>
      <c r="I166" s="24"/>
      <c r="J166" s="24"/>
      <c r="K166" s="162"/>
      <c r="L166" s="162"/>
      <c r="M166" s="24"/>
      <c r="N166" s="22"/>
      <c r="O166" s="107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20.25" customHeight="1">
      <c r="A167" s="22"/>
      <c r="B167" s="24"/>
      <c r="C167" s="30"/>
      <c r="D167" s="24"/>
      <c r="E167" s="24"/>
      <c r="F167" s="24"/>
      <c r="G167" s="24"/>
      <c r="H167" s="24"/>
      <c r="I167" s="24"/>
      <c r="J167" s="24"/>
      <c r="K167" s="162"/>
      <c r="L167" s="162"/>
      <c r="M167" s="24"/>
      <c r="N167" s="22"/>
      <c r="O167" s="107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20.25" customHeight="1">
      <c r="A168" s="22"/>
      <c r="B168" s="24"/>
      <c r="C168" s="30"/>
      <c r="D168" s="24"/>
      <c r="E168" s="24"/>
      <c r="F168" s="24"/>
      <c r="G168" s="24"/>
      <c r="H168" s="24"/>
      <c r="I168" s="24"/>
      <c r="J168" s="24"/>
      <c r="K168" s="162"/>
      <c r="L168" s="162"/>
      <c r="M168" s="24"/>
      <c r="N168" s="22"/>
      <c r="O168" s="107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20.25" customHeight="1">
      <c r="A169" s="22"/>
      <c r="B169" s="24"/>
      <c r="C169" s="30"/>
      <c r="D169" s="24"/>
      <c r="E169" s="24"/>
      <c r="F169" s="24"/>
      <c r="G169" s="24"/>
      <c r="H169" s="24"/>
      <c r="I169" s="24"/>
      <c r="J169" s="24"/>
      <c r="K169" s="162"/>
      <c r="L169" s="162"/>
      <c r="M169" s="24"/>
      <c r="N169" s="22"/>
      <c r="O169" s="107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20.25" customHeight="1">
      <c r="A170" s="22"/>
      <c r="B170" s="24"/>
      <c r="C170" s="30"/>
      <c r="D170" s="24"/>
      <c r="E170" s="24"/>
      <c r="F170" s="24"/>
      <c r="G170" s="24"/>
      <c r="H170" s="24"/>
      <c r="I170" s="24"/>
      <c r="J170" s="24"/>
      <c r="K170" s="162"/>
      <c r="L170" s="162"/>
      <c r="M170" s="24"/>
      <c r="N170" s="22"/>
      <c r="O170" s="107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20.25" customHeight="1">
      <c r="A171" s="22"/>
      <c r="B171" s="24"/>
      <c r="C171" s="30"/>
      <c r="D171" s="24"/>
      <c r="E171" s="24"/>
      <c r="F171" s="24"/>
      <c r="G171" s="24"/>
      <c r="H171" s="24"/>
      <c r="I171" s="24"/>
      <c r="J171" s="24"/>
      <c r="K171" s="162"/>
      <c r="L171" s="162"/>
      <c r="M171" s="24"/>
      <c r="N171" s="22"/>
      <c r="O171" s="107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20.25" customHeight="1">
      <c r="A172" s="22"/>
      <c r="B172" s="24"/>
      <c r="C172" s="30"/>
      <c r="D172" s="24"/>
      <c r="E172" s="24"/>
      <c r="F172" s="24"/>
      <c r="G172" s="24"/>
      <c r="H172" s="24"/>
      <c r="I172" s="24"/>
      <c r="J172" s="24"/>
      <c r="K172" s="162"/>
      <c r="L172" s="162"/>
      <c r="M172" s="24"/>
      <c r="N172" s="22"/>
      <c r="O172" s="107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20.25" customHeight="1">
      <c r="A173" s="22"/>
      <c r="B173" s="24"/>
      <c r="C173" s="30"/>
      <c r="D173" s="24"/>
      <c r="E173" s="24"/>
      <c r="F173" s="24"/>
      <c r="G173" s="24"/>
      <c r="H173" s="24"/>
      <c r="I173" s="24"/>
      <c r="J173" s="24"/>
      <c r="K173" s="162"/>
      <c r="L173" s="162"/>
      <c r="M173" s="24"/>
      <c r="N173" s="22"/>
      <c r="O173" s="107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20.25" customHeight="1">
      <c r="A174" s="22"/>
      <c r="B174" s="24"/>
      <c r="C174" s="30"/>
      <c r="D174" s="24"/>
      <c r="E174" s="24"/>
      <c r="F174" s="24"/>
      <c r="G174" s="24"/>
      <c r="H174" s="24"/>
      <c r="I174" s="24"/>
      <c r="J174" s="24"/>
      <c r="K174" s="162"/>
      <c r="L174" s="162"/>
      <c r="M174" s="24"/>
      <c r="N174" s="22"/>
      <c r="O174" s="107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20.25" customHeight="1">
      <c r="A175" s="22"/>
      <c r="B175" s="24"/>
      <c r="C175" s="30"/>
      <c r="D175" s="24"/>
      <c r="E175" s="24"/>
      <c r="F175" s="24"/>
      <c r="G175" s="24"/>
      <c r="H175" s="24"/>
      <c r="I175" s="24"/>
      <c r="J175" s="24"/>
      <c r="K175" s="162"/>
      <c r="L175" s="162"/>
      <c r="M175" s="24"/>
      <c r="N175" s="22"/>
      <c r="O175" s="107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20.25" customHeight="1">
      <c r="A176" s="22"/>
      <c r="B176" s="24"/>
      <c r="C176" s="30"/>
      <c r="D176" s="24"/>
      <c r="E176" s="24"/>
      <c r="F176" s="24"/>
      <c r="G176" s="24"/>
      <c r="H176" s="24"/>
      <c r="I176" s="24"/>
      <c r="J176" s="24"/>
      <c r="K176" s="162"/>
      <c r="L176" s="162"/>
      <c r="M176" s="24"/>
      <c r="N176" s="22"/>
      <c r="O176" s="107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20.25" customHeight="1">
      <c r="A177" s="22"/>
      <c r="B177" s="24"/>
      <c r="C177" s="30"/>
      <c r="D177" s="24"/>
      <c r="E177" s="24"/>
      <c r="F177" s="24"/>
      <c r="G177" s="24"/>
      <c r="H177" s="24"/>
      <c r="I177" s="24"/>
      <c r="J177" s="24"/>
      <c r="K177" s="162"/>
      <c r="L177" s="162"/>
      <c r="M177" s="24"/>
      <c r="N177" s="22"/>
      <c r="O177" s="107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20.25" customHeight="1">
      <c r="A178" s="22"/>
      <c r="B178" s="24"/>
      <c r="C178" s="30"/>
      <c r="D178" s="24"/>
      <c r="E178" s="24"/>
      <c r="F178" s="24"/>
      <c r="G178" s="24"/>
      <c r="H178" s="24"/>
      <c r="I178" s="24"/>
      <c r="J178" s="24"/>
      <c r="K178" s="162"/>
      <c r="L178" s="162"/>
      <c r="M178" s="24"/>
      <c r="N178" s="22"/>
      <c r="O178" s="107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20.25" customHeight="1">
      <c r="A179" s="22"/>
      <c r="B179" s="24"/>
      <c r="C179" s="30"/>
      <c r="D179" s="24"/>
      <c r="E179" s="24"/>
      <c r="F179" s="24"/>
      <c r="G179" s="24"/>
      <c r="H179" s="24"/>
      <c r="I179" s="24"/>
      <c r="J179" s="24"/>
      <c r="K179" s="162"/>
      <c r="L179" s="162"/>
      <c r="M179" s="24"/>
      <c r="N179" s="22"/>
      <c r="O179" s="107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20.25" customHeight="1">
      <c r="A180" s="22"/>
      <c r="B180" s="24"/>
      <c r="C180" s="30"/>
      <c r="D180" s="24"/>
      <c r="E180" s="24"/>
      <c r="F180" s="24"/>
      <c r="G180" s="24"/>
      <c r="H180" s="24"/>
      <c r="I180" s="24"/>
      <c r="J180" s="24"/>
      <c r="K180" s="162"/>
      <c r="L180" s="162"/>
      <c r="M180" s="24"/>
      <c r="N180" s="22"/>
      <c r="O180" s="107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20.25" customHeight="1">
      <c r="A181" s="22"/>
      <c r="B181" s="24"/>
      <c r="C181" s="30"/>
      <c r="D181" s="24"/>
      <c r="E181" s="24"/>
      <c r="F181" s="24"/>
      <c r="G181" s="24"/>
      <c r="H181" s="24"/>
      <c r="I181" s="24"/>
      <c r="J181" s="24"/>
      <c r="K181" s="162"/>
      <c r="L181" s="162"/>
      <c r="M181" s="24"/>
      <c r="N181" s="22"/>
      <c r="O181" s="107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20.25" customHeight="1">
      <c r="A182" s="22"/>
      <c r="B182" s="24"/>
      <c r="C182" s="30"/>
      <c r="D182" s="24"/>
      <c r="E182" s="24"/>
      <c r="F182" s="24"/>
      <c r="G182" s="24"/>
      <c r="H182" s="24"/>
      <c r="I182" s="24"/>
      <c r="J182" s="24"/>
      <c r="K182" s="162"/>
      <c r="L182" s="162"/>
      <c r="M182" s="24"/>
      <c r="N182" s="22"/>
      <c r="O182" s="107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20.25" customHeight="1">
      <c r="A183" s="22"/>
      <c r="B183" s="24"/>
      <c r="C183" s="30"/>
      <c r="D183" s="24"/>
      <c r="E183" s="24"/>
      <c r="F183" s="24"/>
      <c r="G183" s="24"/>
      <c r="H183" s="24"/>
      <c r="I183" s="24"/>
      <c r="J183" s="24"/>
      <c r="K183" s="162"/>
      <c r="L183" s="162"/>
      <c r="M183" s="24"/>
      <c r="N183" s="22"/>
      <c r="O183" s="107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20.25" customHeight="1">
      <c r="A184" s="22"/>
      <c r="B184" s="24"/>
      <c r="C184" s="30"/>
      <c r="D184" s="24"/>
      <c r="E184" s="24"/>
      <c r="F184" s="24"/>
      <c r="G184" s="24"/>
      <c r="H184" s="24"/>
      <c r="I184" s="24"/>
      <c r="J184" s="24"/>
      <c r="K184" s="162"/>
      <c r="L184" s="162"/>
      <c r="M184" s="24"/>
      <c r="N184" s="22"/>
      <c r="O184" s="107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20.25" customHeight="1">
      <c r="A185" s="22"/>
      <c r="B185" s="24"/>
      <c r="C185" s="30"/>
      <c r="D185" s="24"/>
      <c r="E185" s="24"/>
      <c r="F185" s="24"/>
      <c r="G185" s="24"/>
      <c r="H185" s="24"/>
      <c r="I185" s="24"/>
      <c r="J185" s="24"/>
      <c r="K185" s="162"/>
      <c r="L185" s="162"/>
      <c r="M185" s="24"/>
      <c r="N185" s="22"/>
      <c r="O185" s="107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20.25" customHeight="1">
      <c r="A186" s="22"/>
      <c r="B186" s="24"/>
      <c r="C186" s="30"/>
      <c r="D186" s="24"/>
      <c r="E186" s="24"/>
      <c r="F186" s="24"/>
      <c r="G186" s="24"/>
      <c r="H186" s="24"/>
      <c r="I186" s="24"/>
      <c r="J186" s="24"/>
      <c r="K186" s="162"/>
      <c r="L186" s="162"/>
      <c r="M186" s="24"/>
      <c r="N186" s="22"/>
      <c r="O186" s="107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20.25" customHeight="1">
      <c r="A187" s="22"/>
      <c r="B187" s="24"/>
      <c r="C187" s="30"/>
      <c r="D187" s="24"/>
      <c r="E187" s="24"/>
      <c r="F187" s="24"/>
      <c r="G187" s="24"/>
      <c r="H187" s="24"/>
      <c r="I187" s="24"/>
      <c r="J187" s="24"/>
      <c r="K187" s="162"/>
      <c r="L187" s="162"/>
      <c r="M187" s="24"/>
      <c r="N187" s="22"/>
      <c r="O187" s="107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20.25" customHeight="1">
      <c r="A188" s="22"/>
      <c r="B188" s="24"/>
      <c r="C188" s="30"/>
      <c r="D188" s="24"/>
      <c r="E188" s="24"/>
      <c r="F188" s="24"/>
      <c r="G188" s="24"/>
      <c r="H188" s="24"/>
      <c r="I188" s="24"/>
      <c r="J188" s="24"/>
      <c r="K188" s="162"/>
      <c r="L188" s="162"/>
      <c r="M188" s="24"/>
      <c r="N188" s="22"/>
      <c r="O188" s="107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20.25" customHeight="1">
      <c r="A189" s="22"/>
      <c r="B189" s="24"/>
      <c r="C189" s="30"/>
      <c r="D189" s="24"/>
      <c r="E189" s="24"/>
      <c r="F189" s="24"/>
      <c r="G189" s="24"/>
      <c r="H189" s="24"/>
      <c r="I189" s="24"/>
      <c r="J189" s="24"/>
      <c r="K189" s="162"/>
      <c r="L189" s="162"/>
      <c r="M189" s="24"/>
      <c r="N189" s="22"/>
      <c r="O189" s="107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20.25" customHeight="1">
      <c r="A190" s="22"/>
      <c r="B190" s="24"/>
      <c r="C190" s="30"/>
      <c r="D190" s="24"/>
      <c r="E190" s="24"/>
      <c r="F190" s="24"/>
      <c r="G190" s="24"/>
      <c r="H190" s="24"/>
      <c r="I190" s="24"/>
      <c r="J190" s="24"/>
      <c r="K190" s="162"/>
      <c r="L190" s="162"/>
      <c r="M190" s="24"/>
      <c r="N190" s="22"/>
      <c r="O190" s="107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20.25" customHeight="1">
      <c r="A191" s="22"/>
      <c r="B191" s="24"/>
      <c r="C191" s="30"/>
      <c r="D191" s="24"/>
      <c r="E191" s="24"/>
      <c r="F191" s="24"/>
      <c r="G191" s="24"/>
      <c r="H191" s="24"/>
      <c r="I191" s="24"/>
      <c r="J191" s="24"/>
      <c r="K191" s="162"/>
      <c r="L191" s="162"/>
      <c r="M191" s="24"/>
      <c r="N191" s="22"/>
      <c r="O191" s="107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20.25" customHeight="1">
      <c r="A192" s="22"/>
      <c r="B192" s="24"/>
      <c r="C192" s="30"/>
      <c r="D192" s="24"/>
      <c r="E192" s="24"/>
      <c r="F192" s="24"/>
      <c r="G192" s="24"/>
      <c r="H192" s="24"/>
      <c r="I192" s="24"/>
      <c r="J192" s="24"/>
      <c r="K192" s="162"/>
      <c r="L192" s="162"/>
      <c r="M192" s="24"/>
      <c r="N192" s="22"/>
      <c r="O192" s="107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20.25" customHeight="1">
      <c r="A193" s="22"/>
      <c r="B193" s="24"/>
      <c r="C193" s="30"/>
      <c r="D193" s="24"/>
      <c r="E193" s="24"/>
      <c r="F193" s="24"/>
      <c r="G193" s="24"/>
      <c r="H193" s="24"/>
      <c r="I193" s="24"/>
      <c r="J193" s="24"/>
      <c r="K193" s="162"/>
      <c r="L193" s="162"/>
      <c r="M193" s="24"/>
      <c r="N193" s="22"/>
      <c r="O193" s="107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20.25" customHeight="1">
      <c r="A194" s="22"/>
      <c r="B194" s="24"/>
      <c r="C194" s="30"/>
      <c r="D194" s="24"/>
      <c r="E194" s="24"/>
      <c r="F194" s="24"/>
      <c r="G194" s="24"/>
      <c r="H194" s="24"/>
      <c r="I194" s="24"/>
      <c r="J194" s="24"/>
      <c r="K194" s="162"/>
      <c r="L194" s="162"/>
      <c r="M194" s="24"/>
      <c r="N194" s="22"/>
      <c r="O194" s="107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20.25" customHeight="1">
      <c r="A195" s="22"/>
      <c r="B195" s="24"/>
      <c r="C195" s="30"/>
      <c r="D195" s="24"/>
      <c r="E195" s="24"/>
      <c r="F195" s="24"/>
      <c r="G195" s="24"/>
      <c r="H195" s="24"/>
      <c r="I195" s="24"/>
      <c r="J195" s="24"/>
      <c r="K195" s="162"/>
      <c r="L195" s="162"/>
      <c r="M195" s="24"/>
      <c r="N195" s="22"/>
      <c r="O195" s="107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20.25" customHeight="1">
      <c r="A196" s="22"/>
      <c r="B196" s="24"/>
      <c r="C196" s="30"/>
      <c r="D196" s="24"/>
      <c r="E196" s="24"/>
      <c r="F196" s="24"/>
      <c r="G196" s="24"/>
      <c r="H196" s="24"/>
      <c r="I196" s="24"/>
      <c r="J196" s="24"/>
      <c r="K196" s="162"/>
      <c r="L196" s="162"/>
      <c r="M196" s="24"/>
      <c r="N196" s="22"/>
      <c r="O196" s="107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20.25" customHeight="1">
      <c r="A197" s="22"/>
      <c r="B197" s="24"/>
      <c r="C197" s="30"/>
      <c r="D197" s="24"/>
      <c r="E197" s="24"/>
      <c r="F197" s="24"/>
      <c r="G197" s="24"/>
      <c r="H197" s="24"/>
      <c r="I197" s="24"/>
      <c r="J197" s="24"/>
      <c r="K197" s="162"/>
      <c r="L197" s="162"/>
      <c r="M197" s="24"/>
      <c r="N197" s="22"/>
      <c r="O197" s="107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20.25" customHeight="1">
      <c r="A198" s="22"/>
      <c r="B198" s="24"/>
      <c r="C198" s="30"/>
      <c r="D198" s="24"/>
      <c r="E198" s="24"/>
      <c r="F198" s="24"/>
      <c r="G198" s="24"/>
      <c r="H198" s="24"/>
      <c r="I198" s="24"/>
      <c r="J198" s="24"/>
      <c r="K198" s="162"/>
      <c r="L198" s="162"/>
      <c r="M198" s="24"/>
      <c r="N198" s="22"/>
      <c r="O198" s="107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20.25" customHeight="1">
      <c r="A199" s="22"/>
      <c r="B199" s="24"/>
      <c r="C199" s="30"/>
      <c r="D199" s="24"/>
      <c r="E199" s="24"/>
      <c r="F199" s="24"/>
      <c r="G199" s="24"/>
      <c r="H199" s="24"/>
      <c r="I199" s="24"/>
      <c r="J199" s="24"/>
      <c r="K199" s="162"/>
      <c r="L199" s="162"/>
      <c r="M199" s="24"/>
      <c r="N199" s="22"/>
      <c r="O199" s="107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20.25" customHeight="1">
      <c r="A200" s="22"/>
      <c r="B200" s="24"/>
      <c r="C200" s="30"/>
      <c r="D200" s="24"/>
      <c r="E200" s="24"/>
      <c r="F200" s="24"/>
      <c r="G200" s="24"/>
      <c r="H200" s="24"/>
      <c r="I200" s="24"/>
      <c r="J200" s="24"/>
      <c r="K200" s="162"/>
      <c r="L200" s="162"/>
      <c r="M200" s="24"/>
      <c r="N200" s="22"/>
      <c r="O200" s="107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20.25" customHeight="1">
      <c r="A201" s="22"/>
      <c r="B201" s="24"/>
      <c r="C201" s="30"/>
      <c r="D201" s="24"/>
      <c r="E201" s="24"/>
      <c r="F201" s="24"/>
      <c r="G201" s="24"/>
      <c r="H201" s="24"/>
      <c r="I201" s="24"/>
      <c r="J201" s="24"/>
      <c r="K201" s="162"/>
      <c r="L201" s="162"/>
      <c r="M201" s="24"/>
      <c r="N201" s="22"/>
      <c r="O201" s="107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20.25" customHeight="1">
      <c r="A202" s="22"/>
      <c r="B202" s="24"/>
      <c r="C202" s="30"/>
      <c r="D202" s="24"/>
      <c r="E202" s="24"/>
      <c r="F202" s="24"/>
      <c r="G202" s="24"/>
      <c r="H202" s="24"/>
      <c r="I202" s="24"/>
      <c r="J202" s="24"/>
      <c r="K202" s="162"/>
      <c r="L202" s="162"/>
      <c r="M202" s="24"/>
      <c r="N202" s="22"/>
      <c r="O202" s="107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20.25" customHeight="1">
      <c r="A203" s="22"/>
      <c r="B203" s="24"/>
      <c r="C203" s="30"/>
      <c r="D203" s="24"/>
      <c r="E203" s="24"/>
      <c r="F203" s="24"/>
      <c r="G203" s="24"/>
      <c r="H203" s="24"/>
      <c r="I203" s="24"/>
      <c r="J203" s="24"/>
      <c r="K203" s="162"/>
      <c r="L203" s="162"/>
      <c r="M203" s="24"/>
      <c r="N203" s="22"/>
      <c r="O203" s="107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20.25" customHeight="1">
      <c r="A204" s="22"/>
      <c r="B204" s="24"/>
      <c r="C204" s="30"/>
      <c r="D204" s="24"/>
      <c r="E204" s="24"/>
      <c r="F204" s="24"/>
      <c r="G204" s="24"/>
      <c r="H204" s="24"/>
      <c r="I204" s="24"/>
      <c r="J204" s="24"/>
      <c r="K204" s="162"/>
      <c r="L204" s="162"/>
      <c r="M204" s="24"/>
      <c r="N204" s="22"/>
      <c r="O204" s="107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20.25" customHeight="1">
      <c r="A205" s="22"/>
      <c r="B205" s="24"/>
      <c r="C205" s="30"/>
      <c r="D205" s="24"/>
      <c r="E205" s="24"/>
      <c r="F205" s="24"/>
      <c r="G205" s="24"/>
      <c r="H205" s="24"/>
      <c r="I205" s="24"/>
      <c r="J205" s="24"/>
      <c r="K205" s="162"/>
      <c r="L205" s="162"/>
      <c r="M205" s="24"/>
      <c r="N205" s="22"/>
      <c r="O205" s="107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20.25" customHeight="1">
      <c r="A206" s="22"/>
      <c r="B206" s="24"/>
      <c r="C206" s="30"/>
      <c r="D206" s="24"/>
      <c r="E206" s="24"/>
      <c r="F206" s="24"/>
      <c r="G206" s="24"/>
      <c r="H206" s="24"/>
      <c r="I206" s="24"/>
      <c r="J206" s="24"/>
      <c r="K206" s="162"/>
      <c r="L206" s="162"/>
      <c r="M206" s="24"/>
      <c r="N206" s="22"/>
      <c r="O206" s="107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20.25" customHeight="1">
      <c r="A207" s="22"/>
      <c r="B207" s="24"/>
      <c r="C207" s="30"/>
      <c r="D207" s="24"/>
      <c r="E207" s="24"/>
      <c r="F207" s="24"/>
      <c r="G207" s="24"/>
      <c r="H207" s="24"/>
      <c r="I207" s="24"/>
      <c r="J207" s="24"/>
      <c r="K207" s="162"/>
      <c r="L207" s="162"/>
      <c r="M207" s="24"/>
      <c r="N207" s="22"/>
      <c r="O207" s="107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20.25" customHeight="1">
      <c r="A208" s="22"/>
      <c r="B208" s="24"/>
      <c r="C208" s="30"/>
      <c r="D208" s="24"/>
      <c r="E208" s="24"/>
      <c r="F208" s="24"/>
      <c r="G208" s="24"/>
      <c r="H208" s="24"/>
      <c r="I208" s="24"/>
      <c r="J208" s="24"/>
      <c r="K208" s="162"/>
      <c r="L208" s="162"/>
      <c r="M208" s="24"/>
      <c r="N208" s="22"/>
      <c r="O208" s="107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20.25" customHeight="1">
      <c r="A209" s="22"/>
      <c r="B209" s="24"/>
      <c r="C209" s="30"/>
      <c r="D209" s="24"/>
      <c r="E209" s="24"/>
      <c r="F209" s="24"/>
      <c r="G209" s="24"/>
      <c r="H209" s="24"/>
      <c r="I209" s="24"/>
      <c r="J209" s="24"/>
      <c r="K209" s="162"/>
      <c r="L209" s="162"/>
      <c r="M209" s="24"/>
      <c r="N209" s="22"/>
      <c r="O209" s="107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20.25" customHeight="1">
      <c r="A210" s="22"/>
      <c r="B210" s="24"/>
      <c r="C210" s="30"/>
      <c r="D210" s="24"/>
      <c r="E210" s="24"/>
      <c r="F210" s="24"/>
      <c r="G210" s="24"/>
      <c r="H210" s="24"/>
      <c r="I210" s="24"/>
      <c r="J210" s="24"/>
      <c r="K210" s="162"/>
      <c r="L210" s="162"/>
      <c r="M210" s="24"/>
      <c r="N210" s="22"/>
      <c r="O210" s="107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20.25" customHeight="1">
      <c r="A211" s="22"/>
      <c r="B211" s="24"/>
      <c r="C211" s="30"/>
      <c r="D211" s="24"/>
      <c r="E211" s="24"/>
      <c r="F211" s="24"/>
      <c r="G211" s="24"/>
      <c r="H211" s="24"/>
      <c r="I211" s="24"/>
      <c r="J211" s="24"/>
      <c r="K211" s="162"/>
      <c r="L211" s="162"/>
      <c r="M211" s="24"/>
      <c r="N211" s="22"/>
      <c r="O211" s="107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20.25" customHeight="1">
      <c r="A212" s="22"/>
      <c r="B212" s="24"/>
      <c r="C212" s="30"/>
      <c r="D212" s="24"/>
      <c r="E212" s="24"/>
      <c r="F212" s="24"/>
      <c r="G212" s="24"/>
      <c r="H212" s="24"/>
      <c r="I212" s="24"/>
      <c r="J212" s="24"/>
      <c r="K212" s="162"/>
      <c r="L212" s="162"/>
      <c r="M212" s="24"/>
      <c r="N212" s="22"/>
      <c r="O212" s="107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20.25" customHeight="1">
      <c r="A213" s="22"/>
      <c r="B213" s="24"/>
      <c r="C213" s="30"/>
      <c r="D213" s="24"/>
      <c r="E213" s="24"/>
      <c r="F213" s="24"/>
      <c r="G213" s="24"/>
      <c r="H213" s="24"/>
      <c r="I213" s="24"/>
      <c r="J213" s="24"/>
      <c r="K213" s="162"/>
      <c r="L213" s="162"/>
      <c r="M213" s="24"/>
      <c r="N213" s="22"/>
      <c r="O213" s="107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20.25" customHeight="1">
      <c r="A214" s="22"/>
      <c r="B214" s="24"/>
      <c r="C214" s="30"/>
      <c r="D214" s="24"/>
      <c r="E214" s="24"/>
      <c r="F214" s="24"/>
      <c r="G214" s="24"/>
      <c r="H214" s="24"/>
      <c r="I214" s="24"/>
      <c r="J214" s="24"/>
      <c r="K214" s="162"/>
      <c r="L214" s="162"/>
      <c r="M214" s="24"/>
      <c r="N214" s="22"/>
      <c r="O214" s="107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20.25" customHeight="1">
      <c r="A215" s="22"/>
      <c r="B215" s="24"/>
      <c r="C215" s="30"/>
      <c r="D215" s="24"/>
      <c r="E215" s="24"/>
      <c r="F215" s="24"/>
      <c r="G215" s="24"/>
      <c r="H215" s="24"/>
      <c r="I215" s="24"/>
      <c r="J215" s="24"/>
      <c r="K215" s="162"/>
      <c r="L215" s="162"/>
      <c r="M215" s="24"/>
      <c r="N215" s="22"/>
      <c r="O215" s="107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20.25" customHeight="1">
      <c r="A216" s="22"/>
      <c r="B216" s="24"/>
      <c r="C216" s="30"/>
      <c r="D216" s="24"/>
      <c r="E216" s="24"/>
      <c r="F216" s="24"/>
      <c r="G216" s="24"/>
      <c r="H216" s="24"/>
      <c r="I216" s="24"/>
      <c r="J216" s="24"/>
      <c r="K216" s="162"/>
      <c r="L216" s="162"/>
      <c r="M216" s="24"/>
      <c r="N216" s="22"/>
      <c r="O216" s="107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20.25" customHeight="1">
      <c r="A217" s="22"/>
      <c r="B217" s="24"/>
      <c r="C217" s="30"/>
      <c r="D217" s="24"/>
      <c r="E217" s="24"/>
      <c r="F217" s="24"/>
      <c r="G217" s="24"/>
      <c r="H217" s="24"/>
      <c r="I217" s="24"/>
      <c r="J217" s="24"/>
      <c r="K217" s="162"/>
      <c r="L217" s="162"/>
      <c r="M217" s="24"/>
      <c r="N217" s="22"/>
      <c r="O217" s="107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20.25" customHeight="1">
      <c r="A218" s="22"/>
      <c r="B218" s="24"/>
      <c r="C218" s="30"/>
      <c r="D218" s="24"/>
      <c r="E218" s="24"/>
      <c r="F218" s="24"/>
      <c r="G218" s="24"/>
      <c r="H218" s="24"/>
      <c r="I218" s="24"/>
      <c r="J218" s="24"/>
      <c r="K218" s="162"/>
      <c r="L218" s="162"/>
      <c r="M218" s="24"/>
      <c r="N218" s="22"/>
      <c r="O218" s="107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20.25" customHeight="1">
      <c r="A219" s="22"/>
      <c r="B219" s="24"/>
      <c r="C219" s="30"/>
      <c r="D219" s="24"/>
      <c r="E219" s="24"/>
      <c r="F219" s="24"/>
      <c r="G219" s="24"/>
      <c r="H219" s="24"/>
      <c r="I219" s="24"/>
      <c r="J219" s="24"/>
      <c r="K219" s="162"/>
      <c r="L219" s="162"/>
      <c r="M219" s="24"/>
      <c r="N219" s="22"/>
      <c r="O219" s="107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20.25" customHeight="1">
      <c r="A220" s="22"/>
      <c r="B220" s="24"/>
      <c r="C220" s="30"/>
      <c r="D220" s="24"/>
      <c r="E220" s="24"/>
      <c r="F220" s="24"/>
      <c r="G220" s="24"/>
      <c r="H220" s="24"/>
      <c r="I220" s="24"/>
      <c r="J220" s="24"/>
      <c r="K220" s="162"/>
      <c r="L220" s="162"/>
      <c r="M220" s="24"/>
      <c r="N220" s="22"/>
      <c r="O220" s="107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20.25" customHeight="1">
      <c r="A221" s="22"/>
      <c r="B221" s="24"/>
      <c r="C221" s="30"/>
      <c r="D221" s="24"/>
      <c r="E221" s="24"/>
      <c r="F221" s="24"/>
      <c r="G221" s="24"/>
      <c r="H221" s="24"/>
      <c r="I221" s="24"/>
      <c r="J221" s="24"/>
      <c r="K221" s="162"/>
      <c r="L221" s="162"/>
      <c r="M221" s="24"/>
      <c r="N221" s="22"/>
      <c r="O221" s="107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20.25" customHeight="1">
      <c r="A222" s="22"/>
      <c r="B222" s="24"/>
      <c r="C222" s="30"/>
      <c r="D222" s="24"/>
      <c r="E222" s="24"/>
      <c r="F222" s="24"/>
      <c r="G222" s="24"/>
      <c r="H222" s="24"/>
      <c r="I222" s="24"/>
      <c r="J222" s="24"/>
      <c r="K222" s="162"/>
      <c r="L222" s="162"/>
      <c r="M222" s="24"/>
      <c r="N222" s="22"/>
      <c r="O222" s="107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20.25" customHeight="1">
      <c r="A223" s="22"/>
      <c r="B223" s="24"/>
      <c r="C223" s="30"/>
      <c r="D223" s="24"/>
      <c r="E223" s="24"/>
      <c r="F223" s="24"/>
      <c r="G223" s="24"/>
      <c r="H223" s="24"/>
      <c r="I223" s="24"/>
      <c r="J223" s="24"/>
      <c r="K223" s="162"/>
      <c r="L223" s="162"/>
      <c r="M223" s="24"/>
      <c r="N223" s="22"/>
      <c r="O223" s="107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20.25" customHeight="1">
      <c r="A224" s="22"/>
      <c r="B224" s="24"/>
      <c r="C224" s="30"/>
      <c r="D224" s="24"/>
      <c r="E224" s="24"/>
      <c r="F224" s="24"/>
      <c r="G224" s="24"/>
      <c r="H224" s="24"/>
      <c r="I224" s="24"/>
      <c r="J224" s="24"/>
      <c r="K224" s="162"/>
      <c r="L224" s="162"/>
      <c r="M224" s="24"/>
      <c r="N224" s="22"/>
      <c r="O224" s="107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20.25" customHeight="1">
      <c r="A225" s="22"/>
      <c r="B225" s="24"/>
      <c r="C225" s="30"/>
      <c r="D225" s="24"/>
      <c r="E225" s="24"/>
      <c r="F225" s="24"/>
      <c r="G225" s="24"/>
      <c r="H225" s="24"/>
      <c r="I225" s="24"/>
      <c r="J225" s="24"/>
      <c r="K225" s="162"/>
      <c r="L225" s="162"/>
      <c r="M225" s="24"/>
      <c r="N225" s="22"/>
      <c r="O225" s="107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20.25" customHeight="1">
      <c r="A226" s="22"/>
      <c r="B226" s="24"/>
      <c r="C226" s="30"/>
      <c r="D226" s="24"/>
      <c r="E226" s="24"/>
      <c r="F226" s="24"/>
      <c r="G226" s="24"/>
      <c r="H226" s="24"/>
      <c r="I226" s="24"/>
      <c r="J226" s="24"/>
      <c r="K226" s="162"/>
      <c r="L226" s="162"/>
      <c r="M226" s="24"/>
      <c r="N226" s="22"/>
      <c r="O226" s="107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20.25" customHeight="1">
      <c r="A227" s="22"/>
      <c r="B227" s="24"/>
      <c r="C227" s="30"/>
      <c r="D227" s="24"/>
      <c r="E227" s="24"/>
      <c r="F227" s="24"/>
      <c r="G227" s="24"/>
      <c r="H227" s="24"/>
      <c r="I227" s="24"/>
      <c r="J227" s="24"/>
      <c r="K227" s="162"/>
      <c r="L227" s="162"/>
      <c r="M227" s="24"/>
      <c r="N227" s="22"/>
      <c r="O227" s="107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20.25" customHeight="1">
      <c r="A228" s="22"/>
      <c r="B228" s="24"/>
      <c r="C228" s="30"/>
      <c r="D228" s="24"/>
      <c r="E228" s="24"/>
      <c r="F228" s="24"/>
      <c r="G228" s="24"/>
      <c r="H228" s="24"/>
      <c r="I228" s="24"/>
      <c r="J228" s="24"/>
      <c r="K228" s="162"/>
      <c r="L228" s="162"/>
      <c r="M228" s="24"/>
      <c r="N228" s="22"/>
      <c r="O228" s="107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20.25" customHeight="1">
      <c r="A229" s="22"/>
      <c r="B229" s="24"/>
      <c r="C229" s="30"/>
      <c r="D229" s="24"/>
      <c r="E229" s="24"/>
      <c r="F229" s="24"/>
      <c r="G229" s="24"/>
      <c r="H229" s="24"/>
      <c r="I229" s="24"/>
      <c r="J229" s="24"/>
      <c r="K229" s="162"/>
      <c r="L229" s="162"/>
      <c r="M229" s="24"/>
      <c r="N229" s="22"/>
      <c r="O229" s="107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20.25" customHeight="1">
      <c r="A230" s="22"/>
      <c r="B230" s="24"/>
      <c r="C230" s="30"/>
      <c r="D230" s="24"/>
      <c r="E230" s="24"/>
      <c r="F230" s="24"/>
      <c r="G230" s="24"/>
      <c r="H230" s="24"/>
      <c r="I230" s="24"/>
      <c r="J230" s="24"/>
      <c r="K230" s="162"/>
      <c r="L230" s="162"/>
      <c r="M230" s="24"/>
      <c r="N230" s="22"/>
      <c r="O230" s="107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20.25" customHeight="1">
      <c r="A231" s="22"/>
      <c r="B231" s="24"/>
      <c r="C231" s="30"/>
      <c r="D231" s="24"/>
      <c r="E231" s="24"/>
      <c r="F231" s="24"/>
      <c r="G231" s="24"/>
      <c r="H231" s="24"/>
      <c r="I231" s="24"/>
      <c r="J231" s="24"/>
      <c r="K231" s="162"/>
      <c r="L231" s="162"/>
      <c r="M231" s="24"/>
      <c r="N231" s="22"/>
      <c r="O231" s="107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20.25" customHeight="1">
      <c r="A232" s="22"/>
      <c r="B232" s="24"/>
      <c r="C232" s="30"/>
      <c r="D232" s="24"/>
      <c r="E232" s="24"/>
      <c r="F232" s="24"/>
      <c r="G232" s="24"/>
      <c r="H232" s="24"/>
      <c r="I232" s="24"/>
      <c r="J232" s="24"/>
      <c r="K232" s="162"/>
      <c r="L232" s="162"/>
      <c r="M232" s="24"/>
      <c r="N232" s="22"/>
      <c r="O232" s="107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20.25" customHeight="1">
      <c r="A233" s="22"/>
      <c r="B233" s="24"/>
      <c r="C233" s="30"/>
      <c r="D233" s="24"/>
      <c r="E233" s="24"/>
      <c r="F233" s="24"/>
      <c r="G233" s="24"/>
      <c r="H233" s="24"/>
      <c r="I233" s="24"/>
      <c r="J233" s="24"/>
      <c r="K233" s="162"/>
      <c r="L233" s="162"/>
      <c r="M233" s="24"/>
      <c r="N233" s="22"/>
      <c r="O233" s="107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20.25" customHeight="1">
      <c r="A234" s="22"/>
      <c r="B234" s="24"/>
      <c r="C234" s="30"/>
      <c r="D234" s="24"/>
      <c r="E234" s="24"/>
      <c r="F234" s="24"/>
      <c r="G234" s="24"/>
      <c r="H234" s="24"/>
      <c r="I234" s="24"/>
      <c r="J234" s="24"/>
      <c r="K234" s="162"/>
      <c r="L234" s="162"/>
      <c r="M234" s="24"/>
      <c r="N234" s="22"/>
      <c r="O234" s="107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20.25" customHeight="1">
      <c r="A235" s="22"/>
      <c r="B235" s="24"/>
      <c r="C235" s="30"/>
      <c r="D235" s="24"/>
      <c r="E235" s="24"/>
      <c r="F235" s="24"/>
      <c r="G235" s="24"/>
      <c r="H235" s="24"/>
      <c r="I235" s="24"/>
      <c r="J235" s="24"/>
      <c r="K235" s="162"/>
      <c r="L235" s="162"/>
      <c r="M235" s="24"/>
      <c r="N235" s="22"/>
      <c r="O235" s="107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20.25" customHeight="1">
      <c r="A236" s="22"/>
      <c r="B236" s="24"/>
      <c r="C236" s="30"/>
      <c r="D236" s="24"/>
      <c r="E236" s="24"/>
      <c r="F236" s="24"/>
      <c r="G236" s="24"/>
      <c r="H236" s="24"/>
      <c r="I236" s="24"/>
      <c r="J236" s="24"/>
      <c r="K236" s="162"/>
      <c r="L236" s="162"/>
      <c r="M236" s="24"/>
      <c r="N236" s="22"/>
      <c r="O236" s="107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20.25" customHeight="1">
      <c r="A237" s="22"/>
      <c r="B237" s="24"/>
      <c r="C237" s="30"/>
      <c r="D237" s="24"/>
      <c r="E237" s="24"/>
      <c r="F237" s="24"/>
      <c r="G237" s="24"/>
      <c r="H237" s="24"/>
      <c r="I237" s="24"/>
      <c r="J237" s="24"/>
      <c r="K237" s="162"/>
      <c r="L237" s="162"/>
      <c r="M237" s="24"/>
      <c r="N237" s="22"/>
      <c r="O237" s="107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20.25" customHeight="1">
      <c r="A238" s="22"/>
      <c r="B238" s="24"/>
      <c r="C238" s="30"/>
      <c r="D238" s="24"/>
      <c r="E238" s="24"/>
      <c r="F238" s="24"/>
      <c r="G238" s="24"/>
      <c r="H238" s="24"/>
      <c r="I238" s="24"/>
      <c r="J238" s="24"/>
      <c r="K238" s="162"/>
      <c r="L238" s="162"/>
      <c r="M238" s="24"/>
      <c r="N238" s="22"/>
      <c r="O238" s="107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20.25" customHeight="1">
      <c r="A239" s="22"/>
      <c r="B239" s="24"/>
      <c r="C239" s="30"/>
      <c r="D239" s="24"/>
      <c r="E239" s="24"/>
      <c r="F239" s="24"/>
      <c r="G239" s="24"/>
      <c r="H239" s="24"/>
      <c r="I239" s="24"/>
      <c r="J239" s="24"/>
      <c r="K239" s="162"/>
      <c r="L239" s="162"/>
      <c r="M239" s="24"/>
      <c r="N239" s="22"/>
      <c r="O239" s="107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20.25" customHeight="1">
      <c r="A240" s="22"/>
      <c r="B240" s="24"/>
      <c r="C240" s="30"/>
      <c r="D240" s="24"/>
      <c r="E240" s="24"/>
      <c r="F240" s="24"/>
      <c r="G240" s="24"/>
      <c r="H240" s="24"/>
      <c r="I240" s="24"/>
      <c r="J240" s="24"/>
      <c r="K240" s="162"/>
      <c r="L240" s="162"/>
      <c r="M240" s="24"/>
      <c r="N240" s="22"/>
      <c r="O240" s="107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20.25" customHeight="1">
      <c r="A241" s="22"/>
      <c r="B241" s="24"/>
      <c r="C241" s="30"/>
      <c r="D241" s="24"/>
      <c r="E241" s="24"/>
      <c r="F241" s="24"/>
      <c r="G241" s="24"/>
      <c r="H241" s="24"/>
      <c r="I241" s="24"/>
      <c r="J241" s="24"/>
      <c r="K241" s="162"/>
      <c r="L241" s="162"/>
      <c r="M241" s="24"/>
      <c r="N241" s="22"/>
      <c r="O241" s="107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20.25" customHeight="1">
      <c r="A242" s="22"/>
      <c r="B242" s="24"/>
      <c r="C242" s="30"/>
      <c r="D242" s="24"/>
      <c r="E242" s="24"/>
      <c r="F242" s="24"/>
      <c r="G242" s="24"/>
      <c r="H242" s="24"/>
      <c r="I242" s="24"/>
      <c r="J242" s="24"/>
      <c r="K242" s="162"/>
      <c r="L242" s="162"/>
      <c r="M242" s="24"/>
      <c r="N242" s="22"/>
      <c r="O242" s="107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20.25" customHeight="1">
      <c r="A243" s="22"/>
      <c r="B243" s="24"/>
      <c r="C243" s="30"/>
      <c r="D243" s="24"/>
      <c r="E243" s="24"/>
      <c r="F243" s="24"/>
      <c r="G243" s="24"/>
      <c r="H243" s="24"/>
      <c r="I243" s="24"/>
      <c r="J243" s="24"/>
      <c r="K243" s="162"/>
      <c r="L243" s="162"/>
      <c r="M243" s="24"/>
      <c r="N243" s="22"/>
      <c r="O243" s="107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20.25" customHeight="1">
      <c r="A244" s="22"/>
      <c r="B244" s="24"/>
      <c r="C244" s="30"/>
      <c r="D244" s="24"/>
      <c r="E244" s="24"/>
      <c r="F244" s="24"/>
      <c r="G244" s="24"/>
      <c r="H244" s="24"/>
      <c r="I244" s="24"/>
      <c r="J244" s="24"/>
      <c r="K244" s="162"/>
      <c r="L244" s="162"/>
      <c r="M244" s="24"/>
      <c r="N244" s="22"/>
      <c r="O244" s="107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20.25" customHeight="1">
      <c r="A245" s="22"/>
      <c r="B245" s="24"/>
      <c r="C245" s="30"/>
      <c r="D245" s="24"/>
      <c r="E245" s="24"/>
      <c r="F245" s="24"/>
      <c r="G245" s="24"/>
      <c r="H245" s="24"/>
      <c r="I245" s="24"/>
      <c r="J245" s="24"/>
      <c r="K245" s="162"/>
      <c r="L245" s="162"/>
      <c r="M245" s="24"/>
      <c r="N245" s="22"/>
      <c r="O245" s="107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20.25" customHeight="1">
      <c r="A246" s="22"/>
      <c r="B246" s="24"/>
      <c r="C246" s="30"/>
      <c r="D246" s="24"/>
      <c r="E246" s="24"/>
      <c r="F246" s="24"/>
      <c r="G246" s="24"/>
      <c r="H246" s="24"/>
      <c r="I246" s="24"/>
      <c r="J246" s="24"/>
      <c r="K246" s="162"/>
      <c r="L246" s="162"/>
      <c r="M246" s="24"/>
      <c r="N246" s="22"/>
      <c r="O246" s="107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20.25" customHeight="1">
      <c r="A247" s="22"/>
      <c r="B247" s="24"/>
      <c r="C247" s="30"/>
      <c r="D247" s="24"/>
      <c r="E247" s="24"/>
      <c r="F247" s="24"/>
      <c r="G247" s="24"/>
      <c r="H247" s="24"/>
      <c r="I247" s="24"/>
      <c r="J247" s="24"/>
      <c r="K247" s="162"/>
      <c r="L247" s="162"/>
      <c r="M247" s="24"/>
      <c r="N247" s="22"/>
      <c r="O247" s="107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20.25" customHeight="1">
      <c r="A248" s="22"/>
      <c r="B248" s="24"/>
      <c r="C248" s="30"/>
      <c r="D248" s="24"/>
      <c r="E248" s="24"/>
      <c r="F248" s="24"/>
      <c r="G248" s="24"/>
      <c r="H248" s="24"/>
      <c r="I248" s="24"/>
      <c r="J248" s="24"/>
      <c r="K248" s="162"/>
      <c r="L248" s="162"/>
      <c r="M248" s="24"/>
      <c r="N248" s="22"/>
      <c r="O248" s="107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20.25" customHeight="1">
      <c r="A249" s="22"/>
      <c r="B249" s="24"/>
      <c r="C249" s="30"/>
      <c r="D249" s="24"/>
      <c r="E249" s="24"/>
      <c r="F249" s="24"/>
      <c r="G249" s="24"/>
      <c r="H249" s="24"/>
      <c r="I249" s="24"/>
      <c r="J249" s="24"/>
      <c r="K249" s="162"/>
      <c r="L249" s="162"/>
      <c r="M249" s="24"/>
      <c r="N249" s="22"/>
      <c r="O249" s="107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20.25" customHeight="1">
      <c r="A250" s="22"/>
      <c r="B250" s="24"/>
      <c r="C250" s="30"/>
      <c r="D250" s="24"/>
      <c r="E250" s="24"/>
      <c r="F250" s="24"/>
      <c r="G250" s="24"/>
      <c r="H250" s="24"/>
      <c r="I250" s="24"/>
      <c r="J250" s="24"/>
      <c r="K250" s="162"/>
      <c r="L250" s="162"/>
      <c r="M250" s="24"/>
      <c r="N250" s="22"/>
      <c r="O250" s="107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20.25" customHeight="1">
      <c r="A251" s="22"/>
      <c r="B251" s="24"/>
      <c r="C251" s="30"/>
      <c r="D251" s="24"/>
      <c r="E251" s="24"/>
      <c r="F251" s="24"/>
      <c r="G251" s="24"/>
      <c r="H251" s="24"/>
      <c r="I251" s="24"/>
      <c r="J251" s="24"/>
      <c r="K251" s="162"/>
      <c r="L251" s="162"/>
      <c r="M251" s="24"/>
      <c r="N251" s="22"/>
      <c r="O251" s="107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20.25" customHeight="1">
      <c r="A252" s="22"/>
      <c r="B252" s="24"/>
      <c r="C252" s="30"/>
      <c r="D252" s="24"/>
      <c r="E252" s="24"/>
      <c r="F252" s="24"/>
      <c r="G252" s="24"/>
      <c r="H252" s="24"/>
      <c r="I252" s="24"/>
      <c r="J252" s="24"/>
      <c r="K252" s="162"/>
      <c r="L252" s="162"/>
      <c r="M252" s="24"/>
      <c r="N252" s="22"/>
      <c r="O252" s="107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20.25" customHeight="1">
      <c r="A253" s="22"/>
      <c r="B253" s="24"/>
      <c r="C253" s="30"/>
      <c r="D253" s="24"/>
      <c r="E253" s="24"/>
      <c r="F253" s="24"/>
      <c r="G253" s="24"/>
      <c r="H253" s="24"/>
      <c r="I253" s="24"/>
      <c r="J253" s="24"/>
      <c r="K253" s="162"/>
      <c r="L253" s="162"/>
      <c r="M253" s="24"/>
      <c r="N253" s="22"/>
      <c r="O253" s="107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20.25" customHeight="1">
      <c r="A254" s="22"/>
      <c r="B254" s="24"/>
      <c r="C254" s="30"/>
      <c r="D254" s="24"/>
      <c r="E254" s="24"/>
      <c r="F254" s="24"/>
      <c r="G254" s="24"/>
      <c r="H254" s="24"/>
      <c r="I254" s="24"/>
      <c r="J254" s="24"/>
      <c r="K254" s="162"/>
      <c r="L254" s="162"/>
      <c r="M254" s="24"/>
      <c r="N254" s="22"/>
      <c r="O254" s="107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20.25" customHeight="1">
      <c r="A255" s="22"/>
      <c r="B255" s="24"/>
      <c r="C255" s="30"/>
      <c r="D255" s="24"/>
      <c r="E255" s="24"/>
      <c r="F255" s="24"/>
      <c r="G255" s="24"/>
      <c r="H255" s="24"/>
      <c r="I255" s="24"/>
      <c r="J255" s="24"/>
      <c r="K255" s="162"/>
      <c r="L255" s="162"/>
      <c r="M255" s="24"/>
      <c r="N255" s="22"/>
      <c r="O255" s="107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20.25" customHeight="1">
      <c r="A256" s="22"/>
      <c r="B256" s="24"/>
      <c r="C256" s="30"/>
      <c r="D256" s="24"/>
      <c r="E256" s="24"/>
      <c r="F256" s="24"/>
      <c r="G256" s="24"/>
      <c r="H256" s="24"/>
      <c r="I256" s="24"/>
      <c r="J256" s="24"/>
      <c r="K256" s="162"/>
      <c r="L256" s="162"/>
      <c r="M256" s="24"/>
      <c r="N256" s="22"/>
      <c r="O256" s="107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20.25" customHeight="1">
      <c r="A257" s="22"/>
      <c r="B257" s="24"/>
      <c r="C257" s="30"/>
      <c r="D257" s="24"/>
      <c r="E257" s="24"/>
      <c r="F257" s="24"/>
      <c r="G257" s="24"/>
      <c r="H257" s="24"/>
      <c r="I257" s="24"/>
      <c r="J257" s="24"/>
      <c r="K257" s="162"/>
      <c r="L257" s="162"/>
      <c r="M257" s="24"/>
      <c r="N257" s="22"/>
      <c r="O257" s="107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20.25" customHeight="1">
      <c r="A258" s="22"/>
      <c r="B258" s="24"/>
      <c r="C258" s="30"/>
      <c r="D258" s="24"/>
      <c r="E258" s="24"/>
      <c r="F258" s="24"/>
      <c r="G258" s="24"/>
      <c r="H258" s="24"/>
      <c r="I258" s="24"/>
      <c r="J258" s="24"/>
      <c r="K258" s="162"/>
      <c r="L258" s="162"/>
      <c r="M258" s="24"/>
      <c r="N258" s="22"/>
      <c r="O258" s="107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20.25" customHeight="1">
      <c r="A259" s="22"/>
      <c r="B259" s="24"/>
      <c r="C259" s="30"/>
      <c r="D259" s="24"/>
      <c r="E259" s="24"/>
      <c r="F259" s="24"/>
      <c r="G259" s="24"/>
      <c r="H259" s="24"/>
      <c r="I259" s="24"/>
      <c r="J259" s="24"/>
      <c r="K259" s="162"/>
      <c r="L259" s="162"/>
      <c r="M259" s="24"/>
      <c r="N259" s="22"/>
      <c r="O259" s="107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20.25" customHeight="1">
      <c r="A260" s="22"/>
      <c r="B260" s="24"/>
      <c r="C260" s="30"/>
      <c r="D260" s="24"/>
      <c r="E260" s="24"/>
      <c r="F260" s="24"/>
      <c r="G260" s="24"/>
      <c r="H260" s="24"/>
      <c r="I260" s="24"/>
      <c r="J260" s="24"/>
      <c r="K260" s="162"/>
      <c r="L260" s="162"/>
      <c r="M260" s="24"/>
      <c r="N260" s="22"/>
      <c r="O260" s="107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20.25" customHeight="1">
      <c r="A261" s="22"/>
      <c r="B261" s="24"/>
      <c r="C261" s="30"/>
      <c r="D261" s="24"/>
      <c r="E261" s="24"/>
      <c r="F261" s="24"/>
      <c r="G261" s="24"/>
      <c r="H261" s="24"/>
      <c r="I261" s="24"/>
      <c r="J261" s="24"/>
      <c r="K261" s="162"/>
      <c r="L261" s="162"/>
      <c r="M261" s="24"/>
      <c r="N261" s="22"/>
      <c r="O261" s="107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20.25" customHeight="1">
      <c r="A262" s="22"/>
      <c r="B262" s="24"/>
      <c r="C262" s="30"/>
      <c r="D262" s="24"/>
      <c r="E262" s="24"/>
      <c r="F262" s="24"/>
      <c r="G262" s="24"/>
      <c r="H262" s="24"/>
      <c r="I262" s="24"/>
      <c r="J262" s="24"/>
      <c r="K262" s="162"/>
      <c r="L262" s="162"/>
      <c r="M262" s="24"/>
      <c r="N262" s="22"/>
      <c r="O262" s="107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20.25" customHeight="1">
      <c r="A263" s="22"/>
      <c r="B263" s="24"/>
      <c r="C263" s="30"/>
      <c r="D263" s="24"/>
      <c r="E263" s="24"/>
      <c r="F263" s="24"/>
      <c r="G263" s="24"/>
      <c r="H263" s="24"/>
      <c r="I263" s="24"/>
      <c r="J263" s="24"/>
      <c r="K263" s="162"/>
      <c r="L263" s="162"/>
      <c r="M263" s="24"/>
      <c r="N263" s="22"/>
      <c r="O263" s="107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20.25" customHeight="1">
      <c r="A264" s="22"/>
      <c r="B264" s="24"/>
      <c r="C264" s="30"/>
      <c r="D264" s="24"/>
      <c r="E264" s="24"/>
      <c r="F264" s="24"/>
      <c r="G264" s="24"/>
      <c r="H264" s="24"/>
      <c r="I264" s="24"/>
      <c r="J264" s="24"/>
      <c r="K264" s="162"/>
      <c r="L264" s="162"/>
      <c r="M264" s="24"/>
      <c r="N264" s="22"/>
      <c r="O264" s="107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20.25" customHeight="1">
      <c r="A265" s="22"/>
      <c r="B265" s="24"/>
      <c r="C265" s="30"/>
      <c r="D265" s="24"/>
      <c r="E265" s="24"/>
      <c r="F265" s="24"/>
      <c r="G265" s="24"/>
      <c r="H265" s="24"/>
      <c r="I265" s="24"/>
      <c r="J265" s="24"/>
      <c r="K265" s="162"/>
      <c r="L265" s="162"/>
      <c r="M265" s="24"/>
      <c r="N265" s="22"/>
      <c r="O265" s="107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20.25" customHeight="1">
      <c r="A266" s="22"/>
      <c r="B266" s="24"/>
      <c r="C266" s="30"/>
      <c r="D266" s="24"/>
      <c r="E266" s="24"/>
      <c r="F266" s="24"/>
      <c r="G266" s="24"/>
      <c r="H266" s="24"/>
      <c r="I266" s="24"/>
      <c r="J266" s="24"/>
      <c r="K266" s="162"/>
      <c r="L266" s="162"/>
      <c r="M266" s="24"/>
      <c r="N266" s="22"/>
      <c r="O266" s="107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20.25" customHeight="1">
      <c r="A267" s="22"/>
      <c r="B267" s="24"/>
      <c r="C267" s="30"/>
      <c r="D267" s="24"/>
      <c r="E267" s="24"/>
      <c r="F267" s="24"/>
      <c r="G267" s="24"/>
      <c r="H267" s="24"/>
      <c r="I267" s="24"/>
      <c r="J267" s="24"/>
      <c r="K267" s="162"/>
      <c r="L267" s="162"/>
      <c r="M267" s="24"/>
      <c r="N267" s="22"/>
      <c r="O267" s="107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20.25" customHeight="1">
      <c r="A268" s="22"/>
      <c r="B268" s="24"/>
      <c r="C268" s="30"/>
      <c r="D268" s="24"/>
      <c r="E268" s="24"/>
      <c r="F268" s="24"/>
      <c r="G268" s="24"/>
      <c r="H268" s="24"/>
      <c r="I268" s="24"/>
      <c r="J268" s="24"/>
      <c r="K268" s="162"/>
      <c r="L268" s="162"/>
      <c r="M268" s="24"/>
      <c r="N268" s="22"/>
      <c r="O268" s="107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20.25" customHeight="1">
      <c r="A269" s="22"/>
      <c r="B269" s="24"/>
      <c r="C269" s="30"/>
      <c r="D269" s="24"/>
      <c r="E269" s="24"/>
      <c r="F269" s="24"/>
      <c r="G269" s="24"/>
      <c r="H269" s="24"/>
      <c r="I269" s="24"/>
      <c r="J269" s="24"/>
      <c r="K269" s="162"/>
      <c r="L269" s="162"/>
      <c r="M269" s="24"/>
      <c r="N269" s="22"/>
      <c r="O269" s="107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20.25" customHeight="1">
      <c r="A270" s="22"/>
      <c r="B270" s="24"/>
      <c r="C270" s="30"/>
      <c r="D270" s="24"/>
      <c r="E270" s="24"/>
      <c r="F270" s="24"/>
      <c r="G270" s="24"/>
      <c r="H270" s="24"/>
      <c r="I270" s="24"/>
      <c r="J270" s="24"/>
      <c r="K270" s="162"/>
      <c r="L270" s="162"/>
      <c r="M270" s="24"/>
      <c r="N270" s="22"/>
      <c r="O270" s="107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20.25" customHeight="1">
      <c r="A271" s="22"/>
      <c r="B271" s="24"/>
      <c r="C271" s="30"/>
      <c r="D271" s="24"/>
      <c r="E271" s="24"/>
      <c r="F271" s="24"/>
      <c r="G271" s="24"/>
      <c r="H271" s="24"/>
      <c r="I271" s="24"/>
      <c r="J271" s="24"/>
      <c r="K271" s="162"/>
      <c r="L271" s="162"/>
      <c r="M271" s="24"/>
      <c r="N271" s="22"/>
      <c r="O271" s="107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R11:S11"/>
    <mergeCell ref="C13:D13"/>
    <mergeCell ref="A1:C1"/>
    <mergeCell ref="A3:N3"/>
    <mergeCell ref="A4:N4"/>
    <mergeCell ref="M6:N7"/>
    <mergeCell ref="K11:L11"/>
  </mergeCells>
  <pageMargins left="0.7" right="0.7" top="0.75" bottom="0.75" header="0" footer="0"/>
  <pageSetup orientation="landscape"/>
  <headerFooter>
    <oddHeader>&amp;CTrang &amp;P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00"/>
  <sheetViews>
    <sheetView workbookViewId="0"/>
  </sheetViews>
  <sheetFormatPr defaultColWidth="11.33203125" defaultRowHeight="15" customHeight="1"/>
  <cols>
    <col min="1" max="1" width="16.109375" customWidth="1"/>
    <col min="2" max="6" width="8" customWidth="1"/>
  </cols>
  <sheetData>
    <row r="1" spans="1:2">
      <c r="A1" s="123" t="s">
        <v>379</v>
      </c>
      <c r="B1" s="123" t="s">
        <v>380</v>
      </c>
    </row>
    <row r="2" spans="1:2">
      <c r="A2" s="124" t="s">
        <v>261</v>
      </c>
      <c r="B2" s="125">
        <v>5</v>
      </c>
    </row>
    <row r="3" spans="1:2">
      <c r="A3" s="124" t="s">
        <v>227</v>
      </c>
      <c r="B3" s="125">
        <v>7</v>
      </c>
    </row>
    <row r="4" spans="1:2">
      <c r="A4" s="124" t="s">
        <v>309</v>
      </c>
      <c r="B4" s="125">
        <v>8</v>
      </c>
    </row>
    <row r="5" spans="1:2">
      <c r="A5" s="124" t="s">
        <v>306</v>
      </c>
      <c r="B5" s="125">
        <v>8</v>
      </c>
    </row>
    <row r="6" spans="1:2">
      <c r="A6" s="124" t="s">
        <v>178</v>
      </c>
      <c r="B6" s="125">
        <v>5</v>
      </c>
    </row>
    <row r="7" spans="1:2">
      <c r="A7" s="124" t="s">
        <v>196</v>
      </c>
      <c r="B7" s="125">
        <v>8.5</v>
      </c>
    </row>
    <row r="8" spans="1:2">
      <c r="A8" s="124" t="s">
        <v>223</v>
      </c>
      <c r="B8" s="125">
        <v>8</v>
      </c>
    </row>
    <row r="9" spans="1:2">
      <c r="A9" s="124" t="s">
        <v>291</v>
      </c>
      <c r="B9" s="125">
        <v>7</v>
      </c>
    </row>
    <row r="10" spans="1:2">
      <c r="A10" s="124" t="s">
        <v>299</v>
      </c>
      <c r="B10" s="125">
        <v>8</v>
      </c>
    </row>
    <row r="11" spans="1:2">
      <c r="A11" s="124" t="s">
        <v>320</v>
      </c>
      <c r="B11" s="125">
        <v>9</v>
      </c>
    </row>
    <row r="12" spans="1:2">
      <c r="A12" s="124" t="s">
        <v>231</v>
      </c>
      <c r="B12" s="125">
        <v>8</v>
      </c>
    </row>
    <row r="13" spans="1:2">
      <c r="A13" s="124" t="s">
        <v>215</v>
      </c>
      <c r="B13" s="125">
        <v>7.5</v>
      </c>
    </row>
    <row r="14" spans="1:2">
      <c r="A14" s="124" t="s">
        <v>182</v>
      </c>
      <c r="B14" s="125">
        <v>7</v>
      </c>
    </row>
    <row r="15" spans="1:2">
      <c r="A15" s="124" t="s">
        <v>276</v>
      </c>
      <c r="B15" s="125">
        <v>8</v>
      </c>
    </row>
    <row r="16" spans="1:2">
      <c r="A16" s="124" t="s">
        <v>265</v>
      </c>
      <c r="B16" s="125">
        <v>7</v>
      </c>
    </row>
    <row r="17" spans="1:2">
      <c r="A17" s="124" t="s">
        <v>192</v>
      </c>
      <c r="B17" s="125">
        <v>8.5</v>
      </c>
    </row>
    <row r="18" spans="1:2">
      <c r="A18" s="124" t="s">
        <v>200</v>
      </c>
      <c r="B18" s="125">
        <v>4.5</v>
      </c>
    </row>
    <row r="19" spans="1:2">
      <c r="A19" s="124" t="s">
        <v>238</v>
      </c>
      <c r="B19" s="125">
        <v>6.5</v>
      </c>
    </row>
    <row r="20" spans="1:2">
      <c r="A20" s="124" t="s">
        <v>381</v>
      </c>
      <c r="B20" s="125">
        <v>6</v>
      </c>
    </row>
    <row r="21" spans="1:2">
      <c r="A21" s="124" t="s">
        <v>269</v>
      </c>
      <c r="B21" s="125">
        <v>7.5</v>
      </c>
    </row>
    <row r="22" spans="1:2">
      <c r="A22" s="124" t="s">
        <v>204</v>
      </c>
      <c r="B22" s="125">
        <v>5.5</v>
      </c>
    </row>
    <row r="23" spans="1:2">
      <c r="A23" s="124" t="s">
        <v>207</v>
      </c>
      <c r="B23" s="125">
        <v>8.5</v>
      </c>
    </row>
    <row r="24" spans="1:2">
      <c r="A24" s="124" t="s">
        <v>211</v>
      </c>
      <c r="B24" s="125">
        <v>7</v>
      </c>
    </row>
    <row r="25" spans="1:2" ht="15.75" customHeight="1">
      <c r="A25" s="124" t="s">
        <v>246</v>
      </c>
      <c r="B25" s="125">
        <v>7.5</v>
      </c>
    </row>
    <row r="26" spans="1:2" ht="15.75" customHeight="1">
      <c r="A26" s="124" t="s">
        <v>162</v>
      </c>
      <c r="B26" s="125">
        <v>8.5</v>
      </c>
    </row>
    <row r="27" spans="1:2" ht="15.75" customHeight="1">
      <c r="A27" s="124" t="s">
        <v>219</v>
      </c>
      <c r="B27" s="125">
        <v>6</v>
      </c>
    </row>
    <row r="28" spans="1:2" ht="15.75" customHeight="1">
      <c r="A28" s="124" t="s">
        <v>170</v>
      </c>
      <c r="B28" s="125">
        <v>8</v>
      </c>
    </row>
    <row r="29" spans="1:2" ht="15.75" customHeight="1">
      <c r="A29" s="124" t="s">
        <v>283</v>
      </c>
      <c r="B29" s="125">
        <v>7</v>
      </c>
    </row>
    <row r="30" spans="1:2" ht="15.75" customHeight="1">
      <c r="A30" s="124" t="s">
        <v>189</v>
      </c>
      <c r="B30" s="125">
        <v>6</v>
      </c>
    </row>
    <row r="31" spans="1:2" ht="15.75" customHeight="1">
      <c r="A31" s="124" t="s">
        <v>250</v>
      </c>
      <c r="B31" s="125">
        <v>7</v>
      </c>
    </row>
    <row r="32" spans="1:2" ht="15.75" customHeight="1">
      <c r="A32" s="124" t="s">
        <v>316</v>
      </c>
      <c r="B32" s="125">
        <v>7</v>
      </c>
    </row>
    <row r="33" spans="1:2" ht="15.75" customHeight="1">
      <c r="A33" s="124" t="s">
        <v>382</v>
      </c>
      <c r="B33" s="125">
        <v>7</v>
      </c>
    </row>
    <row r="34" spans="1:2" ht="15.75" customHeight="1">
      <c r="A34" s="124" t="s">
        <v>383</v>
      </c>
      <c r="B34" s="125">
        <v>7</v>
      </c>
    </row>
    <row r="35" spans="1:2" ht="15.75" customHeight="1">
      <c r="A35" s="124" t="s">
        <v>257</v>
      </c>
      <c r="B35" s="125">
        <v>7.5</v>
      </c>
    </row>
    <row r="36" spans="1:2" ht="15.75" customHeight="1">
      <c r="A36" s="124" t="s">
        <v>174</v>
      </c>
      <c r="B36" s="125">
        <v>6</v>
      </c>
    </row>
    <row r="37" spans="1:2" ht="15.75" customHeight="1">
      <c r="A37" s="124" t="s">
        <v>166</v>
      </c>
      <c r="B37" s="125">
        <v>8.5</v>
      </c>
    </row>
    <row r="38" spans="1:2" ht="15.75" customHeight="1">
      <c r="A38" s="124" t="s">
        <v>279</v>
      </c>
      <c r="B38" s="125">
        <v>9.5</v>
      </c>
    </row>
    <row r="39" spans="1:2" ht="15.75" customHeight="1">
      <c r="A39" s="124" t="s">
        <v>254</v>
      </c>
      <c r="B39" s="125">
        <v>7</v>
      </c>
    </row>
    <row r="40" spans="1:2" ht="15.75" customHeight="1">
      <c r="A40" s="124" t="s">
        <v>365</v>
      </c>
      <c r="B40" s="125">
        <v>5</v>
      </c>
    </row>
    <row r="41" spans="1:2" ht="15.75" customHeight="1">
      <c r="A41" s="124" t="s">
        <v>242</v>
      </c>
      <c r="B41" s="125">
        <v>5</v>
      </c>
    </row>
    <row r="42" spans="1:2" ht="15.75" customHeight="1">
      <c r="A42" s="124"/>
      <c r="B42" s="125"/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PHUNG</dc:creator>
  <cp:keywords/>
  <dc:description/>
  <cp:lastModifiedBy/>
  <cp:revision/>
  <dcterms:created xsi:type="dcterms:W3CDTF">2021-12-24T14:39:34Z</dcterms:created>
  <dcterms:modified xsi:type="dcterms:W3CDTF">2026-03-05T09:31:14Z</dcterms:modified>
  <cp:category/>
  <cp:contentStatus/>
</cp:coreProperties>
</file>